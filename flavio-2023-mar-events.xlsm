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\\wsl.localhost\Ubuntu-20.04\home\flaviolopes\projetos\apontamento-horas\fase1-automacao\read-google-agenda-events\"/>
    </mc:Choice>
  </mc:AlternateContent>
  <xr:revisionPtr revIDLastSave="0" documentId="13_ncr:1_{E5DECC94-927B-4BDF-9E12-4256D41EDA03}" xr6:coauthVersionLast="47" xr6:coauthVersionMax="47" xr10:uidLastSave="{00000000-0000-0000-0000-000000000000}"/>
  <bookViews>
    <workbookView xWindow="-110" yWindow="-110" windowWidth="19420" windowHeight="10300" activeTab="1" xr2:uid="{8FF1875B-FFCF-4306-A750-29D4DE75ECA4}"/>
  </bookViews>
  <sheets>
    <sheet name="flavio-2023-mar-events" sheetId="2" r:id="rId1"/>
    <sheet name="clientes" sheetId="4" r:id="rId2"/>
    <sheet name="demais" sheetId="5" r:id="rId3"/>
    <sheet name="parametros" sheetId="3" r:id="rId4"/>
  </sheets>
  <functionGroups builtInGroupCount="19"/>
  <definedNames>
    <definedName name="DadosExternos_1" localSheetId="0" hidden="1">'flavio-2023-mar-events'!$A$1:$M$212</definedName>
    <definedName name="Filtros">parametros!$A$2:$B$10</definedName>
  </definedNames>
  <calcPr calcId="191029"/>
  <pivotCaches>
    <pivotCache cacheId="12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3" i="2" l="1"/>
  <c r="E169" i="2"/>
  <c r="E72" i="2"/>
  <c r="E127" i="2"/>
  <c r="E23" i="2"/>
  <c r="E136" i="2"/>
  <c r="E32" i="2"/>
  <c r="E10" i="2"/>
  <c r="E40" i="2"/>
  <c r="E74" i="2"/>
  <c r="E171" i="2"/>
  <c r="E172" i="2"/>
  <c r="E17" i="2"/>
  <c r="E137" i="2"/>
  <c r="E92" i="2"/>
  <c r="E207" i="2"/>
  <c r="E192" i="2"/>
  <c r="E22" i="2"/>
  <c r="E49" i="2"/>
  <c r="E203" i="2"/>
  <c r="E178" i="2"/>
  <c r="E138" i="2"/>
  <c r="E190" i="2"/>
  <c r="E58" i="2"/>
  <c r="E91" i="2"/>
  <c r="E184" i="2"/>
  <c r="E75" i="2"/>
  <c r="E112" i="2"/>
  <c r="E173" i="2"/>
  <c r="E38" i="2"/>
  <c r="E45" i="2"/>
  <c r="E139" i="2"/>
  <c r="E39" i="2"/>
  <c r="E199" i="2"/>
  <c r="E208" i="2"/>
  <c r="E191" i="2"/>
  <c r="E76" i="2"/>
  <c r="E33" i="2"/>
  <c r="E170" i="2"/>
  <c r="E162" i="2"/>
  <c r="E105" i="2"/>
  <c r="E140" i="2"/>
  <c r="E93" i="2"/>
  <c r="E164" i="2"/>
  <c r="E209" i="2"/>
  <c r="E77" i="2"/>
  <c r="E110" i="2"/>
  <c r="E128" i="2"/>
  <c r="E24" i="2"/>
  <c r="E141" i="2"/>
  <c r="E210" i="2"/>
  <c r="E11" i="2"/>
  <c r="E78" i="2"/>
  <c r="E113" i="2"/>
  <c r="E9" i="2"/>
  <c r="E57" i="2"/>
  <c r="E18" i="2"/>
  <c r="E142" i="2"/>
  <c r="E94" i="2"/>
  <c r="E182" i="2"/>
  <c r="E68" i="2"/>
  <c r="E211" i="2"/>
  <c r="E123" i="2"/>
  <c r="E53" i="2"/>
  <c r="E204" i="2"/>
  <c r="E143" i="2"/>
  <c r="E187" i="2"/>
  <c r="E59" i="2"/>
  <c r="E43" i="2"/>
  <c r="E212" i="2"/>
  <c r="E181" i="2"/>
  <c r="E122" i="2"/>
  <c r="E79" i="2"/>
  <c r="E189" i="2"/>
  <c r="E46" i="2"/>
  <c r="E144" i="2"/>
  <c r="E42" i="2"/>
  <c r="E200" i="2"/>
  <c r="E66" i="2"/>
  <c r="E80" i="2"/>
  <c r="E34" i="2"/>
  <c r="E177" i="2"/>
  <c r="E7" i="2"/>
  <c r="E163" i="2"/>
  <c r="E145" i="2"/>
  <c r="E95" i="2"/>
  <c r="E132" i="2"/>
  <c r="E174" i="2"/>
  <c r="E16" i="2"/>
  <c r="E15" i="2"/>
  <c r="E176" i="2"/>
  <c r="E106" i="2"/>
  <c r="E133" i="2"/>
  <c r="E29" i="2"/>
  <c r="E81" i="2"/>
  <c r="E183" i="2"/>
  <c r="E28" i="2"/>
  <c r="E129" i="2"/>
  <c r="E146" i="2"/>
  <c r="E134" i="2"/>
  <c r="E12" i="2"/>
  <c r="E82" i="2"/>
  <c r="E109" i="2"/>
  <c r="E19" i="2"/>
  <c r="E160" i="2"/>
  <c r="E147" i="2"/>
  <c r="E96" i="2"/>
  <c r="E103" i="2"/>
  <c r="E195" i="2"/>
  <c r="E124" i="2"/>
  <c r="E56" i="2"/>
  <c r="E64" i="2"/>
  <c r="E205" i="2"/>
  <c r="E148" i="2"/>
  <c r="E188" i="2"/>
  <c r="E196" i="2"/>
  <c r="E60" i="2"/>
  <c r="E25" i="2"/>
  <c r="E51" i="2"/>
  <c r="E63" i="2"/>
  <c r="E167" i="2"/>
  <c r="E83" i="2"/>
  <c r="E3" i="2"/>
  <c r="E67" i="2"/>
  <c r="E47" i="2"/>
  <c r="E149" i="2"/>
  <c r="E30" i="2"/>
  <c r="E104" i="2"/>
  <c r="E201" i="2"/>
  <c r="E71" i="2"/>
  <c r="E37" i="2"/>
  <c r="E84" i="2"/>
  <c r="E69" i="2"/>
  <c r="E35" i="2"/>
  <c r="E114" i="2"/>
  <c r="E107" i="2"/>
  <c r="E150" i="2"/>
  <c r="E97" i="2"/>
  <c r="E165" i="2"/>
  <c r="E85" i="2"/>
  <c r="E4" i="2"/>
  <c r="E198" i="2"/>
  <c r="E130" i="2"/>
  <c r="E6" i="2"/>
  <c r="E26" i="2"/>
  <c r="E151" i="2"/>
  <c r="E52" i="2"/>
  <c r="E13" i="2"/>
  <c r="E168" i="2"/>
  <c r="E86" i="2"/>
  <c r="E54" i="2"/>
  <c r="E166" i="2"/>
  <c r="E20" i="2"/>
  <c r="E152" i="2"/>
  <c r="E98" i="2"/>
  <c r="E102" i="2"/>
  <c r="E101" i="2"/>
  <c r="E125" i="2"/>
  <c r="E116" i="2"/>
  <c r="E8" i="2"/>
  <c r="E31" i="2"/>
  <c r="E117" i="2"/>
  <c r="E153" i="2"/>
  <c r="E185" i="2"/>
  <c r="E202" i="2"/>
  <c r="E70" i="2"/>
  <c r="E61" i="2"/>
  <c r="E44" i="2"/>
  <c r="E115" i="2"/>
  <c r="E87" i="2"/>
  <c r="E48" i="2"/>
  <c r="E154" i="2"/>
  <c r="E197" i="2"/>
  <c r="E2" i="2"/>
  <c r="E88" i="2"/>
  <c r="E36" i="2"/>
  <c r="E108" i="2"/>
  <c r="E155" i="2"/>
  <c r="E99" i="2"/>
  <c r="E55" i="2"/>
  <c r="E175" i="2"/>
  <c r="E161" i="2"/>
  <c r="E121" i="2"/>
  <c r="E89" i="2"/>
  <c r="E131" i="2"/>
  <c r="E27" i="2"/>
  <c r="E156" i="2"/>
  <c r="E50" i="2"/>
  <c r="E65" i="2"/>
  <c r="E41" i="2"/>
  <c r="E14" i="2"/>
  <c r="E179" i="2"/>
  <c r="E119" i="2"/>
  <c r="E194" i="2"/>
  <c r="E90" i="2"/>
  <c r="E21" i="2"/>
  <c r="E5" i="2"/>
  <c r="E157" i="2"/>
  <c r="E100" i="2"/>
  <c r="E111" i="2"/>
  <c r="E120" i="2"/>
  <c r="E193" i="2"/>
  <c r="E126" i="2"/>
  <c r="E135" i="2"/>
  <c r="E118" i="2"/>
  <c r="E159" i="2"/>
  <c r="E206" i="2"/>
  <c r="E158" i="2"/>
  <c r="E180" i="2"/>
  <c r="E186" i="2"/>
  <c r="E62" i="2"/>
  <c r="F169" i="2" a="1"/>
  <c r="F169" i="2" s="1"/>
  <c r="F127" i="2" a="1"/>
  <c r="F127" i="2" s="1"/>
  <c r="F136" i="2" a="1"/>
  <c r="F136" i="2" s="1"/>
  <c r="F40" i="2" a="1"/>
  <c r="F40" i="2" s="1"/>
  <c r="F74" i="2" a="1"/>
  <c r="F74" i="2" s="1"/>
  <c r="F171" i="2" a="1"/>
  <c r="F171" i="2" s="1"/>
  <c r="F172" i="2" a="1"/>
  <c r="F172" i="2" s="1"/>
  <c r="F17" i="2" a="1"/>
  <c r="F17" i="2" s="1"/>
  <c r="F207" i="2" a="1"/>
  <c r="F207" i="2"/>
  <c r="F192" i="2" a="1"/>
  <c r="F192" i="2" s="1"/>
  <c r="F22" i="2" a="1"/>
  <c r="F22" i="2" s="1"/>
  <c r="F49" i="2" a="1"/>
  <c r="F49" i="2"/>
  <c r="F203" i="2" a="1"/>
  <c r="F203" i="2" s="1"/>
  <c r="F138" i="2" a="1"/>
  <c r="F138" i="2" s="1"/>
  <c r="F190" i="2" a="1"/>
  <c r="F190" i="2"/>
  <c r="F58" i="2" a="1"/>
  <c r="F58" i="2" s="1"/>
  <c r="F91" i="2" a="1"/>
  <c r="F91" i="2" s="1"/>
  <c r="F184" i="2" a="1"/>
  <c r="F184" i="2" s="1"/>
  <c r="F112" i="2" a="1"/>
  <c r="F112" i="2" s="1"/>
  <c r="F173" i="2" a="1"/>
  <c r="F173" i="2" s="1"/>
  <c r="F139" i="2" a="1"/>
  <c r="F139" i="2" s="1"/>
  <c r="F39" i="2" a="1"/>
  <c r="F39" i="2" s="1"/>
  <c r="F199" i="2" a="1"/>
  <c r="F199" i="2" s="1"/>
  <c r="F208" i="2" a="1"/>
  <c r="F208" i="2" s="1"/>
  <c r="F191" i="2" a="1"/>
  <c r="F191" i="2"/>
  <c r="F140" i="2" a="1"/>
  <c r="F140" i="2" s="1"/>
  <c r="F93" i="2" a="1"/>
  <c r="F93" i="2" s="1"/>
  <c r="F164" i="2" a="1"/>
  <c r="F164" i="2" s="1"/>
  <c r="F209" i="2" a="1"/>
  <c r="F209" i="2" s="1"/>
  <c r="F77" i="2" a="1"/>
  <c r="F77" i="2" s="1"/>
  <c r="F110" i="2" a="1"/>
  <c r="F110" i="2"/>
  <c r="F18" i="2" a="1"/>
  <c r="F18" i="2" s="1"/>
  <c r="F142" i="2" a="1"/>
  <c r="F142" i="2" s="1"/>
  <c r="F94" i="2" a="1"/>
  <c r="F94" i="2" s="1"/>
  <c r="F182" i="2" a="1"/>
  <c r="F182" i="2" s="1"/>
  <c r="F68" i="2" a="1"/>
  <c r="F68" i="2" s="1"/>
  <c r="F123" i="2" a="1"/>
  <c r="F123" i="2" s="1"/>
  <c r="F187" i="2" a="1"/>
  <c r="F187" i="2"/>
  <c r="F59" i="2" a="1"/>
  <c r="F59" i="2" s="1"/>
  <c r="F122" i="2" a="1"/>
  <c r="F122" i="2" s="1"/>
  <c r="F79" i="2" a="1"/>
  <c r="F79" i="2" s="1"/>
  <c r="F189" i="2" a="1"/>
  <c r="F189" i="2" s="1"/>
  <c r="F46" i="2" a="1"/>
  <c r="F46" i="2"/>
  <c r="F144" i="2" a="1"/>
  <c r="F144" i="2" s="1"/>
  <c r="F42" i="2" a="1"/>
  <c r="F42" i="2" s="1"/>
  <c r="F200" i="2" a="1"/>
  <c r="F200" i="2" s="1"/>
  <c r="F66" i="2" a="1"/>
  <c r="F66" i="2" s="1"/>
  <c r="F80" i="2" a="1"/>
  <c r="F80" i="2" s="1"/>
  <c r="F34" i="2" a="1"/>
  <c r="F34" i="2" s="1"/>
  <c r="F177" i="2" a="1"/>
  <c r="F177" i="2" s="1"/>
  <c r="F7" i="2" a="1"/>
  <c r="F7" i="2" s="1"/>
  <c r="F163" i="2" a="1"/>
  <c r="F163" i="2" s="1"/>
  <c r="F145" i="2" a="1"/>
  <c r="F145" i="2" s="1"/>
  <c r="F95" i="2" a="1"/>
  <c r="F95" i="2" s="1"/>
  <c r="F132" i="2" a="1"/>
  <c r="F132" i="2" s="1"/>
  <c r="F174" i="2" a="1"/>
  <c r="F174" i="2"/>
  <c r="F16" i="2" a="1"/>
  <c r="F16" i="2" s="1"/>
  <c r="F15" i="2" a="1"/>
  <c r="F15" i="2" s="1"/>
  <c r="F176" i="2" a="1"/>
  <c r="F176" i="2" s="1"/>
  <c r="F106" i="2" a="1"/>
  <c r="F106" i="2" s="1"/>
  <c r="F133" i="2" a="1"/>
  <c r="F133" i="2" s="1"/>
  <c r="F29" i="2" a="1"/>
  <c r="F29" i="2" s="1"/>
  <c r="F81" i="2" a="1"/>
  <c r="F81" i="2" s="1"/>
  <c r="F183" i="2" a="1"/>
  <c r="F183" i="2" s="1"/>
  <c r="F28" i="2" a="1"/>
  <c r="F28" i="2" s="1"/>
  <c r="F129" i="2" a="1"/>
  <c r="F129" i="2" s="1"/>
  <c r="F146" i="2" a="1"/>
  <c r="F146" i="2" s="1"/>
  <c r="F12" i="2" a="1"/>
  <c r="F12" i="2" s="1"/>
  <c r="F19" i="2" a="1"/>
  <c r="F19" i="2" s="1"/>
  <c r="F160" i="2" a="1"/>
  <c r="F160" i="2" s="1"/>
  <c r="F147" i="2" a="1"/>
  <c r="F147" i="2" s="1"/>
  <c r="F96" i="2" a="1"/>
  <c r="F96" i="2" s="1"/>
  <c r="F103" i="2" a="1"/>
  <c r="F103" i="2"/>
  <c r="F195" i="2" a="1"/>
  <c r="F195" i="2" s="1"/>
  <c r="F205" i="2" a="1"/>
  <c r="F205" i="2" s="1"/>
  <c r="F148" i="2" a="1"/>
  <c r="F148" i="2" s="1"/>
  <c r="F188" i="2" a="1"/>
  <c r="F188" i="2" s="1"/>
  <c r="F196" i="2" a="1"/>
  <c r="F196" i="2"/>
  <c r="F63" i="2" a="1"/>
  <c r="F63" i="2" s="1"/>
  <c r="F167" i="2" a="1"/>
  <c r="F167" i="2" s="1"/>
  <c r="F83" i="2" a="1"/>
  <c r="F83" i="2" s="1"/>
  <c r="F3" i="2" a="1"/>
  <c r="F3" i="2" s="1"/>
  <c r="F67" i="2" a="1"/>
  <c r="F67" i="2"/>
  <c r="F47" i="2" a="1"/>
  <c r="F47" i="2" s="1"/>
  <c r="F149" i="2" a="1"/>
  <c r="F149" i="2" s="1"/>
  <c r="F30" i="2" a="1"/>
  <c r="F30" i="2"/>
  <c r="F104" i="2" a="1"/>
  <c r="F104" i="2" s="1"/>
  <c r="F201" i="2" a="1"/>
  <c r="F201" i="2" s="1"/>
  <c r="F71" i="2" a="1"/>
  <c r="F71" i="2" s="1"/>
  <c r="F37" i="2" a="1"/>
  <c r="F37" i="2" s="1"/>
  <c r="F84" i="2" a="1"/>
  <c r="F84" i="2"/>
  <c r="F69" i="2" a="1"/>
  <c r="F69" i="2" s="1"/>
  <c r="F35" i="2" a="1"/>
  <c r="F35" i="2" s="1"/>
  <c r="F114" i="2" a="1"/>
  <c r="F114" i="2"/>
  <c r="F107" i="2" a="1"/>
  <c r="F107" i="2" s="1"/>
  <c r="F150" i="2" a="1"/>
  <c r="F150" i="2" s="1"/>
  <c r="F97" i="2" a="1"/>
  <c r="F97" i="2" s="1"/>
  <c r="F165" i="2" a="1"/>
  <c r="F165" i="2" s="1"/>
  <c r="F85" i="2" a="1"/>
  <c r="F85" i="2" s="1"/>
  <c r="F4" i="2" a="1"/>
  <c r="F4" i="2" s="1"/>
  <c r="F198" i="2" a="1"/>
  <c r="F198" i="2" s="1"/>
  <c r="F130" i="2" a="1"/>
  <c r="F130" i="2" s="1"/>
  <c r="F6" i="2" a="1"/>
  <c r="F6" i="2" s="1"/>
  <c r="F26" i="2" a="1"/>
  <c r="F26" i="2" s="1"/>
  <c r="F151" i="2" a="1"/>
  <c r="F151" i="2" s="1"/>
  <c r="F52" i="2" a="1"/>
  <c r="F52" i="2" s="1"/>
  <c r="F13" i="2" a="1"/>
  <c r="F13" i="2" s="1"/>
  <c r="F168" i="2" a="1"/>
  <c r="F168" i="2" s="1"/>
  <c r="F86" i="2" a="1"/>
  <c r="F86" i="2" s="1"/>
  <c r="F54" i="2" a="1"/>
  <c r="F54" i="2"/>
  <c r="F166" i="2" a="1"/>
  <c r="F166" i="2" s="1"/>
  <c r="F20" i="2" a="1"/>
  <c r="F20" i="2" s="1"/>
  <c r="F152" i="2" a="1"/>
  <c r="F152" i="2" s="1"/>
  <c r="F98" i="2" a="1"/>
  <c r="F98" i="2" s="1"/>
  <c r="F102" i="2" a="1"/>
  <c r="F102" i="2" s="1"/>
  <c r="F101" i="2" a="1"/>
  <c r="F101" i="2" s="1"/>
  <c r="F116" i="2" a="1"/>
  <c r="F116" i="2" s="1"/>
  <c r="F31" i="2" a="1"/>
  <c r="F31" i="2" s="1"/>
  <c r="F117" i="2" a="1"/>
  <c r="F117" i="2" s="1"/>
  <c r="F153" i="2" a="1"/>
  <c r="F153" i="2" s="1"/>
  <c r="F185" i="2" a="1"/>
  <c r="F185" i="2" s="1"/>
  <c r="F202" i="2" a="1"/>
  <c r="F202" i="2" s="1"/>
  <c r="F44" i="2" a="1"/>
  <c r="F44" i="2" s="1"/>
  <c r="F115" i="2" a="1"/>
  <c r="F115" i="2" s="1"/>
  <c r="F121" i="2" a="1"/>
  <c r="F121" i="2" s="1"/>
  <c r="F89" i="2" a="1"/>
  <c r="F89" i="2" s="1"/>
  <c r="F131" i="2" a="1"/>
  <c r="F131" i="2" s="1"/>
  <c r="F27" i="2" a="1"/>
  <c r="F27" i="2" s="1"/>
  <c r="F156" i="2" a="1"/>
  <c r="F156" i="2" s="1"/>
  <c r="F65" i="2" a="1"/>
  <c r="F65" i="2" s="1"/>
  <c r="F179" i="2" a="1"/>
  <c r="F179" i="2" s="1"/>
  <c r="F119" i="2" a="1"/>
  <c r="F119" i="2" s="1"/>
  <c r="F194" i="2" a="1"/>
  <c r="F194" i="2" s="1"/>
  <c r="F5" i="2" a="1"/>
  <c r="F5" i="2" s="1"/>
  <c r="F157" i="2" a="1"/>
  <c r="F157" i="2" s="1"/>
  <c r="F100" i="2" a="1"/>
  <c r="F100" i="2" s="1"/>
  <c r="F111" i="2" a="1"/>
  <c r="F111" i="2" s="1"/>
  <c r="F120" i="2" a="1"/>
  <c r="F120" i="2" s="1"/>
  <c r="F193" i="2" a="1"/>
  <c r="F193" i="2" s="1"/>
  <c r="F126" i="2" a="1"/>
  <c r="F126" i="2"/>
  <c r="F135" i="2" a="1"/>
  <c r="F135" i="2" s="1"/>
  <c r="F118" i="2" a="1"/>
  <c r="F118" i="2" s="1"/>
  <c r="F159" i="2" a="1"/>
  <c r="F159" i="2" s="1"/>
  <c r="F206" i="2" a="1"/>
  <c r="F206" i="2" s="1"/>
  <c r="F158" i="2" a="1"/>
  <c r="F158" i="2" s="1"/>
  <c r="F180" i="2" a="1"/>
  <c r="F180" i="2" s="1"/>
  <c r="F186" i="2" a="1"/>
  <c r="F186" i="2" s="1"/>
  <c r="F62" i="2" a="1"/>
  <c r="F62" i="2" s="1"/>
  <c r="G73" i="2"/>
  <c r="G169" i="2"/>
  <c r="G72" i="2"/>
  <c r="G127" i="2"/>
  <c r="G23" i="2"/>
  <c r="G136" i="2"/>
  <c r="G32" i="2"/>
  <c r="G10" i="2"/>
  <c r="G40" i="2"/>
  <c r="G74" i="2"/>
  <c r="G171" i="2"/>
  <c r="G172" i="2"/>
  <c r="G17" i="2"/>
  <c r="G137" i="2"/>
  <c r="G92" i="2"/>
  <c r="G207" i="2"/>
  <c r="G192" i="2"/>
  <c r="G22" i="2"/>
  <c r="G49" i="2"/>
  <c r="G203" i="2"/>
  <c r="G178" i="2"/>
  <c r="G138" i="2"/>
  <c r="G190" i="2"/>
  <c r="G58" i="2"/>
  <c r="G91" i="2"/>
  <c r="G184" i="2"/>
  <c r="G75" i="2"/>
  <c r="G112" i="2"/>
  <c r="G173" i="2"/>
  <c r="G38" i="2"/>
  <c r="G45" i="2"/>
  <c r="G139" i="2"/>
  <c r="G39" i="2"/>
  <c r="G199" i="2"/>
  <c r="G208" i="2"/>
  <c r="G191" i="2"/>
  <c r="G76" i="2"/>
  <c r="G33" i="2"/>
  <c r="G170" i="2"/>
  <c r="G162" i="2"/>
  <c r="G105" i="2"/>
  <c r="G140" i="2"/>
  <c r="G93" i="2"/>
  <c r="G164" i="2"/>
  <c r="G209" i="2"/>
  <c r="G77" i="2"/>
  <c r="G110" i="2"/>
  <c r="G128" i="2"/>
  <c r="G24" i="2"/>
  <c r="G141" i="2"/>
  <c r="G210" i="2"/>
  <c r="G11" i="2"/>
  <c r="G78" i="2"/>
  <c r="G113" i="2"/>
  <c r="G9" i="2"/>
  <c r="G57" i="2"/>
  <c r="G18" i="2"/>
  <c r="G142" i="2"/>
  <c r="G94" i="2"/>
  <c r="G182" i="2"/>
  <c r="G68" i="2"/>
  <c r="G211" i="2"/>
  <c r="G123" i="2"/>
  <c r="G53" i="2"/>
  <c r="G204" i="2"/>
  <c r="G143" i="2"/>
  <c r="G187" i="2"/>
  <c r="G59" i="2"/>
  <c r="G43" i="2"/>
  <c r="G212" i="2"/>
  <c r="G181" i="2"/>
  <c r="G122" i="2"/>
  <c r="G79" i="2"/>
  <c r="G189" i="2"/>
  <c r="G46" i="2"/>
  <c r="G144" i="2"/>
  <c r="G42" i="2"/>
  <c r="G200" i="2"/>
  <c r="G66" i="2"/>
  <c r="G80" i="2"/>
  <c r="G34" i="2"/>
  <c r="G177" i="2"/>
  <c r="G7" i="2"/>
  <c r="G163" i="2"/>
  <c r="G145" i="2"/>
  <c r="G95" i="2"/>
  <c r="G132" i="2"/>
  <c r="G174" i="2"/>
  <c r="G16" i="2"/>
  <c r="G15" i="2"/>
  <c r="G176" i="2"/>
  <c r="G106" i="2"/>
  <c r="G133" i="2"/>
  <c r="G29" i="2"/>
  <c r="G81" i="2"/>
  <c r="G183" i="2"/>
  <c r="G28" i="2"/>
  <c r="G129" i="2"/>
  <c r="G146" i="2"/>
  <c r="G134" i="2"/>
  <c r="G12" i="2"/>
  <c r="G82" i="2"/>
  <c r="G109" i="2"/>
  <c r="G19" i="2"/>
  <c r="G160" i="2"/>
  <c r="G147" i="2"/>
  <c r="G96" i="2"/>
  <c r="G103" i="2"/>
  <c r="G195" i="2"/>
  <c r="G124" i="2"/>
  <c r="G56" i="2"/>
  <c r="G64" i="2"/>
  <c r="G205" i="2"/>
  <c r="G148" i="2"/>
  <c r="G188" i="2"/>
  <c r="G196" i="2"/>
  <c r="G60" i="2"/>
  <c r="G25" i="2"/>
  <c r="G51" i="2"/>
  <c r="G63" i="2"/>
  <c r="G167" i="2"/>
  <c r="G83" i="2"/>
  <c r="G3" i="2"/>
  <c r="G67" i="2"/>
  <c r="G47" i="2"/>
  <c r="G149" i="2"/>
  <c r="G30" i="2"/>
  <c r="G104" i="2"/>
  <c r="G201" i="2"/>
  <c r="G71" i="2"/>
  <c r="G37" i="2"/>
  <c r="G84" i="2"/>
  <c r="G69" i="2"/>
  <c r="G35" i="2"/>
  <c r="G114" i="2"/>
  <c r="G107" i="2"/>
  <c r="G150" i="2"/>
  <c r="G97" i="2"/>
  <c r="G165" i="2"/>
  <c r="G85" i="2"/>
  <c r="G4" i="2"/>
  <c r="G198" i="2"/>
  <c r="G130" i="2"/>
  <c r="G6" i="2"/>
  <c r="G26" i="2"/>
  <c r="G151" i="2"/>
  <c r="G52" i="2"/>
  <c r="G13" i="2"/>
  <c r="G168" i="2"/>
  <c r="G86" i="2"/>
  <c r="G54" i="2"/>
  <c r="G166" i="2"/>
  <c r="G20" i="2"/>
  <c r="G152" i="2"/>
  <c r="G98" i="2"/>
  <c r="G102" i="2"/>
  <c r="G101" i="2"/>
  <c r="G125" i="2"/>
  <c r="G116" i="2"/>
  <c r="G8" i="2"/>
  <c r="G31" i="2"/>
  <c r="G117" i="2"/>
  <c r="G153" i="2"/>
  <c r="G185" i="2"/>
  <c r="G202" i="2"/>
  <c r="G70" i="2"/>
  <c r="G61" i="2"/>
  <c r="G44" i="2"/>
  <c r="G115" i="2"/>
  <c r="G87" i="2"/>
  <c r="G48" i="2"/>
  <c r="G154" i="2"/>
  <c r="G197" i="2"/>
  <c r="G2" i="2"/>
  <c r="G88" i="2"/>
  <c r="G36" i="2"/>
  <c r="G108" i="2"/>
  <c r="G155" i="2"/>
  <c r="G99" i="2"/>
  <c r="G55" i="2"/>
  <c r="G175" i="2"/>
  <c r="G161" i="2"/>
  <c r="G121" i="2"/>
  <c r="G89" i="2"/>
  <c r="G131" i="2"/>
  <c r="G27" i="2"/>
  <c r="G156" i="2"/>
  <c r="G50" i="2"/>
  <c r="G65" i="2"/>
  <c r="G41" i="2"/>
  <c r="G14" i="2"/>
  <c r="G179" i="2"/>
  <c r="G119" i="2"/>
  <c r="G194" i="2"/>
  <c r="G90" i="2"/>
  <c r="G21" i="2"/>
  <c r="G5" i="2"/>
  <c r="G157" i="2"/>
  <c r="G100" i="2"/>
  <c r="G111" i="2"/>
  <c r="G120" i="2"/>
  <c r="G193" i="2"/>
  <c r="G126" i="2"/>
  <c r="G135" i="2"/>
  <c r="G118" i="2"/>
  <c r="G159" i="2"/>
  <c r="G206" i="2"/>
  <c r="G158" i="2"/>
  <c r="G180" i="2"/>
  <c r="G186" i="2"/>
  <c r="G62" i="2"/>
  <c r="F10" i="2" a="1"/>
  <c r="F162" i="2" a="1"/>
  <c r="F128" i="2" a="1"/>
  <c r="F11" i="2" a="1"/>
  <c r="F57" i="2" a="1"/>
  <c r="F53" i="2" a="1"/>
  <c r="F134" i="2" a="1"/>
  <c r="F64" i="2" a="1"/>
  <c r="F8" i="2" a="1"/>
  <c r="F36" i="2" a="1"/>
  <c r="F73" i="2" a="1"/>
  <c r="F23" i="2" a="1"/>
  <c r="F178" i="2" a="1"/>
  <c r="F76" i="2" a="1"/>
  <c r="F105" i="2" a="1"/>
  <c r="F24" i="2" a="1"/>
  <c r="F78" i="2" a="1"/>
  <c r="F204" i="2" a="1"/>
  <c r="F43" i="2" a="1"/>
  <c r="F60" i="2" a="1"/>
  <c r="F197" i="2" a="1"/>
  <c r="F108" i="2" a="1"/>
  <c r="F175" i="2" a="1"/>
  <c r="F25" i="2" a="1"/>
  <c r="F125" i="2" a="1"/>
  <c r="F70" i="2" a="1"/>
  <c r="F2" i="2" a="1"/>
  <c r="F161" i="2" a="1"/>
  <c r="F72" i="2" a="1"/>
  <c r="F92" i="2" a="1"/>
  <c r="F45" i="2" a="1"/>
  <c r="F9" i="2" a="1"/>
  <c r="F61" i="2" a="1"/>
  <c r="F88" i="2" a="1"/>
  <c r="F55" i="2" a="1"/>
  <c r="F21" i="2" a="1"/>
  <c r="F137" i="2" a="1"/>
  <c r="F38" i="2" a="1"/>
  <c r="F33" i="2" a="1"/>
  <c r="F141" i="2" a="1"/>
  <c r="F113" i="2" a="1"/>
  <c r="F211" i="2" a="1"/>
  <c r="F143" i="2" a="1"/>
  <c r="F212" i="2" a="1"/>
  <c r="F82" i="2" a="1"/>
  <c r="F124" i="2" a="1"/>
  <c r="F87" i="2" a="1"/>
  <c r="F155" i="2" a="1"/>
  <c r="F41" i="2" a="1"/>
  <c r="F32" i="2" a="1"/>
  <c r="F75" i="2" a="1"/>
  <c r="F170" i="2" a="1"/>
  <c r="F181" i="2" a="1"/>
  <c r="F109" i="2" a="1"/>
  <c r="F56" i="2" a="1"/>
  <c r="F48" i="2" a="1"/>
  <c r="F90" i="2" a="1"/>
  <c r="F154" i="2" a="1"/>
  <c r="F50" i="2" a="1"/>
  <c r="F210" i="2" a="1"/>
  <c r="F51" i="2" a="1"/>
  <c r="F99" i="2" a="1"/>
  <c r="F14" i="2" a="1"/>
  <c r="F14" i="2" l="1"/>
  <c r="F99" i="2"/>
  <c r="F51" i="2"/>
  <c r="F210" i="2"/>
  <c r="F50" i="2"/>
  <c r="F154" i="2"/>
  <c r="F90" i="2"/>
  <c r="F48" i="2"/>
  <c r="F56" i="2"/>
  <c r="F109" i="2"/>
  <c r="F181" i="2"/>
  <c r="F170" i="2"/>
  <c r="F75" i="2"/>
  <c r="F32" i="2"/>
  <c r="F41" i="2"/>
  <c r="F155" i="2"/>
  <c r="F87" i="2"/>
  <c r="F124" i="2"/>
  <c r="F82" i="2"/>
  <c r="F212" i="2"/>
  <c r="F143" i="2"/>
  <c r="F211" i="2"/>
  <c r="F113" i="2"/>
  <c r="F141" i="2"/>
  <c r="F33" i="2"/>
  <c r="F38" i="2"/>
  <c r="F137" i="2"/>
  <c r="F21" i="2"/>
  <c r="F55" i="2"/>
  <c r="F88" i="2"/>
  <c r="F61" i="2"/>
  <c r="F9" i="2"/>
  <c r="F45" i="2"/>
  <c r="F92" i="2"/>
  <c r="F72" i="2"/>
  <c r="F161" i="2"/>
  <c r="F2" i="2"/>
  <c r="F70" i="2"/>
  <c r="F125" i="2"/>
  <c r="F25" i="2"/>
  <c r="F175" i="2"/>
  <c r="F108" i="2"/>
  <c r="F197" i="2"/>
  <c r="F60" i="2"/>
  <c r="F43" i="2"/>
  <c r="F204" i="2"/>
  <c r="F78" i="2"/>
  <c r="F24" i="2"/>
  <c r="F105" i="2"/>
  <c r="F76" i="2"/>
  <c r="F178" i="2"/>
  <c r="F23" i="2"/>
  <c r="F73" i="2"/>
  <c r="F36" i="2"/>
  <c r="F8" i="2"/>
  <c r="F64" i="2"/>
  <c r="F134" i="2"/>
  <c r="F53" i="2"/>
  <c r="F57" i="2"/>
  <c r="F11" i="2"/>
  <c r="F128" i="2"/>
  <c r="F162" i="2"/>
  <c r="F1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2642AA0-11EA-48D2-A487-CEF1017783E2}" keepAlive="1" name="Consulta - flavio-2023-mar-events" description="Conexão com a consulta 'flavio-2023-mar-events' na pasta de trabalho." type="5" refreshedVersion="8" background="1" saveData="1">
    <dbPr connection="Provider=Microsoft.Mashup.OleDb.1;Data Source=$Workbook$;Location=flavio-2023-mar-events;Extended Properties=&quot;&quot;" command="SELECT * FROM [flavio-2023-mar-event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<sst xmlns="http://schemas.openxmlformats.org/spreadsheetml/2006/main" count="1579" uniqueCount="233">
  <si>
    <t>calendar_owner_name</t>
  </si>
  <si>
    <t>calendar_owner_email</t>
  </si>
  <si>
    <t>start_date</t>
  </si>
  <si>
    <t>end_date</t>
  </si>
  <si>
    <t>duration</t>
  </si>
  <si>
    <t>event</t>
  </si>
  <si>
    <t>created</t>
  </si>
  <si>
    <t>organizaer</t>
  </si>
  <si>
    <t>attendees[email|name|response_status]</t>
  </si>
  <si>
    <t>Daily | Solutions Team</t>
  </si>
  <si>
    <t/>
  </si>
  <si>
    <t>Reserva - Médico Crianças</t>
  </si>
  <si>
    <t>Conversa Sensedia e ICONIC</t>
  </si>
  <si>
    <t>Open Finance Strat Sync</t>
  </si>
  <si>
    <t>[PAGSEGURO] Recorrencia semanal.</t>
  </si>
  <si>
    <t>Out of office - Lunch Time</t>
  </si>
  <si>
    <t>[RESERVA] RFP SUSEP</t>
  </si>
  <si>
    <t>[GTM IpaaS] - Sales Enablement</t>
  </si>
  <si>
    <t xml:space="preserve">[SUSEP] - RFP Squad Review </t>
  </si>
  <si>
    <t>RFP SUSEP</t>
  </si>
  <si>
    <t>[Open] Tribo - Acompanhamento semanal</t>
  </si>
  <si>
    <t>English Class - Fluentia</t>
  </si>
  <si>
    <t>🌎(New) Global Sport Game - Sensedia &amp; BetterFly</t>
  </si>
  <si>
    <t>Stone - Esclarecimento de Dúvidas - Infraestrutura e Conectividade</t>
  </si>
  <si>
    <t>[Pagol] Demo Plataforma Sensedia | Proposta Comercial</t>
  </si>
  <si>
    <t>Alelo - apoio da Consultoria - alinhar visão geral da solução proposta na venda</t>
  </si>
  <si>
    <t>WGO Delight Customer</t>
  </si>
  <si>
    <t>Sensedia - Stone</t>
  </si>
  <si>
    <t>STM | Qualification Process Collab</t>
  </si>
  <si>
    <t>Alinhamento Sensedia</t>
  </si>
  <si>
    <t>Encontro com o Time de Solutions</t>
  </si>
  <si>
    <t>SMR + Celebration</t>
  </si>
  <si>
    <t>Focus time - RFP SUSEP &amp; Stone</t>
  </si>
  <si>
    <t>RFP SUSEP - Dimensionamento da Equipe</t>
  </si>
  <si>
    <t>[Stone] - Transfer Meeting</t>
  </si>
  <si>
    <t>1:1 Weekly - Roberta Prado / Flavio Nunes</t>
  </si>
  <si>
    <t xml:space="preserve">[Stone] Open Finance Sensedia - Kick Off Meeting </t>
  </si>
  <si>
    <t>Weekly - Business Unit - Finance &amp; Oil and Gas - Utilities</t>
  </si>
  <si>
    <t>📍 Plural Week 2023 - Day 01 📍</t>
  </si>
  <si>
    <t>Stone - Conectividade</t>
  </si>
  <si>
    <t xml:space="preserve">[Sheila + Denise + Thiago] - Weekly </t>
  </si>
  <si>
    <t>Review Expand</t>
  </si>
  <si>
    <t>Papo Open Education Sensedia/Uol Edtech</t>
  </si>
  <si>
    <t>Flavio / Renan</t>
  </si>
  <si>
    <t>Product Feedback Meeting From Sales/Solutions</t>
  </si>
  <si>
    <t>📍Plural Week 2023 - Day 02📍</t>
  </si>
  <si>
    <t>Flavio Nunes / Renan</t>
  </si>
  <si>
    <t>📍Plural Week 2023 - Day 03 📍</t>
  </si>
  <si>
    <t>Fora do escritório - Deslocamento Agenda Presencial- FitBank</t>
  </si>
  <si>
    <t>[FitBank] Agenda Presencial - Open Finance</t>
  </si>
  <si>
    <t>Alinhamento RFP - CNSeg</t>
  </si>
  <si>
    <t>Sensedia + SPIC</t>
  </si>
  <si>
    <t>Call sobre Sugestões Qualificacao</t>
  </si>
  <si>
    <t>📍Plural Week 2023 - Day 04📍</t>
  </si>
  <si>
    <t>Open Education Checkpoint</t>
  </si>
  <si>
    <t>Alinhamento apresentação 2W Energia</t>
  </si>
  <si>
    <t>WGO International Expansion</t>
  </si>
  <si>
    <t>Solution Tech Meetings - Post Mortem</t>
  </si>
  <si>
    <t>[Weekly Técnico Pré-Sales]</t>
  </si>
  <si>
    <t>📍Plural Week 2023 - Day 05 📍</t>
  </si>
  <si>
    <t>Sensedia &amp; Vibra Energia</t>
  </si>
  <si>
    <t>Open Education | YDUQS | Cogna</t>
  </si>
  <si>
    <t>SPIC - Alinhamento Demo</t>
  </si>
  <si>
    <t>[Urgente] - Apoio Alelo / Apis Manager</t>
  </si>
  <si>
    <t>Apresentação Sensedia</t>
  </si>
  <si>
    <t>Sensedia - SPIC - Demonstração API Platform</t>
  </si>
  <si>
    <t xml:space="preserve">[Confirmado] YDUQS - Open Education </t>
  </si>
  <si>
    <t>Placeholder - agenda Sensedia e Yduqs</t>
  </si>
  <si>
    <t>Out of office - Compensação de Horas</t>
  </si>
  <si>
    <t>RFP Susep - Pré Agenda</t>
  </si>
  <si>
    <t>[Open Education] - Thiago / Flavio Nunes - Desenho PoC</t>
  </si>
  <si>
    <t>[Mundoinvest&lt;&gt;Sensedia] Conversa</t>
  </si>
  <si>
    <t>Sensedia - Refinamento da Proposta - RFP Seguros - Oficio SUSEP</t>
  </si>
  <si>
    <t>[Presencial] Bate Papo Cogna/Sensedia</t>
  </si>
  <si>
    <t>Sensedia +Agricopel</t>
  </si>
  <si>
    <t>[PJ Bank] Open Finance Sensedia</t>
  </si>
  <si>
    <t>Flavio Nunes / Joao</t>
  </si>
  <si>
    <t>Palestra Sucesu - Ensaio</t>
  </si>
  <si>
    <t>FIBrasil</t>
  </si>
  <si>
    <t xml:space="preserve">Validação Produção Cielo x Sicredi </t>
  </si>
  <si>
    <t>Alinhamento Mundo Invest</t>
  </si>
  <si>
    <t>Alinhamento Treinamento Parcerias</t>
  </si>
  <si>
    <t xml:space="preserve">WGO Platform Vision </t>
  </si>
  <si>
    <t>Solution Tech Meetings - Tira-Dúvidas sobre Platform Services</t>
  </si>
  <si>
    <t>Vibra + Sensedia</t>
  </si>
  <si>
    <t>Alinhamento !!Garage!! Prysmian</t>
  </si>
  <si>
    <t xml:space="preserve">Alinhamento SPIC </t>
  </si>
  <si>
    <t>Proposta de POC Senedia/Cogna</t>
  </si>
  <si>
    <t>[1:1] Maria : Soave</t>
  </si>
  <si>
    <t>Apresentação SENSEDIA para EDP - Como as APIs podem alavancar a sua transformação digital?</t>
  </si>
  <si>
    <t>[Regionais] Alinhamento Geral</t>
  </si>
  <si>
    <t>Fibrasil</t>
  </si>
  <si>
    <t>Conversa | Jamef + Sensedia</t>
  </si>
  <si>
    <t xml:space="preserve">[Solutions Workshop] Apresentação </t>
  </si>
  <si>
    <t>Capacitação Técnica - Sensedia SPIN - Day 1</t>
  </si>
  <si>
    <t>Fora do escritório - Deslocamento Office</t>
  </si>
  <si>
    <t>[Apresentação] Paynet + Sensedia</t>
  </si>
  <si>
    <t xml:space="preserve">Visita Omni </t>
  </si>
  <si>
    <t>[C6 Bank] Service Mesh</t>
  </si>
  <si>
    <t>Alinhamento 2W - Apresentação</t>
  </si>
  <si>
    <t>Alinhamento DX - MVP 2W Energia</t>
  </si>
  <si>
    <t>Programa de mentoria 2023 | Fórum de mentores</t>
  </si>
  <si>
    <t>Feedback TR Flavio</t>
  </si>
  <si>
    <t>FastPays | Projeto novo</t>
  </si>
  <si>
    <t>IT Scribe Project - Kick-off</t>
  </si>
  <si>
    <t>[FastPays] Projeto</t>
  </si>
  <si>
    <t>[Reserva] - 2W Eco Bank - Detalhamento do Escopo MVP</t>
  </si>
  <si>
    <t>Lançamento programa de mentoria 2023!</t>
  </si>
  <si>
    <t>Solution Tech Meetings - Platform Services</t>
  </si>
  <si>
    <t xml:space="preserve">Well Being- C4Life </t>
  </si>
  <si>
    <t>Cogna + Sensedia | Desenho de PoC</t>
  </si>
  <si>
    <t>Fora do escritório - Exames</t>
  </si>
  <si>
    <t>Vibra + Sensedia @ Fri, Mar 17, 2023 2:00pm – 3:00pm (GMT-03)</t>
  </si>
  <si>
    <t xml:space="preserve">  Open Banking Fase 3 - Crefisa</t>
  </si>
  <si>
    <t>Alinhamento Interno - MAG Finanças</t>
  </si>
  <si>
    <t>Sensedia - Open Banking - MAG Finanças</t>
  </si>
  <si>
    <t>Papo certsign</t>
  </si>
  <si>
    <t>Open Education - Próximos Passos</t>
  </si>
  <si>
    <t>Alinhamento - Pre Agenda SPIC</t>
  </si>
  <si>
    <t>Apresentação Proposta SPIC</t>
  </si>
  <si>
    <t>[Travelex - Interna] Conectividade</t>
  </si>
  <si>
    <t>Sensedia &amp; Mag Finanças - Apresentação de Proposta</t>
  </si>
  <si>
    <t>MAG Finanças</t>
  </si>
  <si>
    <t>Updates JIRA - Bora atualizar!!</t>
  </si>
  <si>
    <t xml:space="preserve">[Banpará] Como monetizar com Open Banking? </t>
  </si>
  <si>
    <t>Focus time - Propostas e Reserva para MAG</t>
  </si>
  <si>
    <t>MAG Finanças - Alinhamento para Entendimento de Apoio Backend</t>
  </si>
  <si>
    <t>Trilha Customer Facing</t>
  </si>
  <si>
    <t>Out of office - Evento API Con</t>
  </si>
  <si>
    <t>Mag alinhamento</t>
  </si>
  <si>
    <t>Overview Sensedia</t>
  </si>
  <si>
    <t>WGO Topline Revenue</t>
  </si>
  <si>
    <t>Sensedia &amp; MAG Finanças - Nova versão de Proposta</t>
  </si>
  <si>
    <t>filter</t>
  </si>
  <si>
    <t>O</t>
  </si>
  <si>
    <t>E</t>
  </si>
  <si>
    <t>C</t>
  </si>
  <si>
    <t>Stone - Overview Sensedia</t>
  </si>
  <si>
    <t xml:space="preserve">MAG Finanças - Sensedia - Open Banking - </t>
  </si>
  <si>
    <t>MAG Finanças - Sensedia &amp; Mag Finanças - Apresentação de Proposta</t>
  </si>
  <si>
    <t>MAG Finanças - Sensedia &amp; MAG Finanças - Nova versão de Proposta</t>
  </si>
  <si>
    <t>S</t>
  </si>
  <si>
    <t>#horas</t>
  </si>
  <si>
    <t>B</t>
  </si>
  <si>
    <t>P</t>
  </si>
  <si>
    <t>FastPays</t>
  </si>
  <si>
    <t>FitBank</t>
  </si>
  <si>
    <t>Mundoinvest</t>
  </si>
  <si>
    <t>SPIC</t>
  </si>
  <si>
    <t xml:space="preserve">SPIC - Alinhamento - Pre Agenda </t>
  </si>
  <si>
    <t xml:space="preserve">Prysmian - Alinhamento !!Garage!! </t>
  </si>
  <si>
    <t>2W - Alinhamento - Apresentação</t>
  </si>
  <si>
    <t>2W - Alinhamento apresentação 2W Energia</t>
  </si>
  <si>
    <t>2W - Alinhamento DX - MVP 2W Energia</t>
  </si>
  <si>
    <t xml:space="preserve"> MAG Finanças - Alinhamento Interno</t>
  </si>
  <si>
    <t xml:space="preserve">SPIC  - Alinhamento </t>
  </si>
  <si>
    <t>SPIC - Apresentação Proposta</t>
  </si>
  <si>
    <t>EDP - Apresentação SENSEDIA para - Como as APIs podem alavancar a sua transformação digital?</t>
  </si>
  <si>
    <t>Jamef - Conversa |  Sensedia</t>
  </si>
  <si>
    <t xml:space="preserve">ICONIC - Conversa Sensedia e </t>
  </si>
  <si>
    <t>SUSEP - Focus time - RFP SUSEP &amp; Stone</t>
  </si>
  <si>
    <t>FitBank - Fora do escritório - Deslocamento Agenda Presencial- FitBank</t>
  </si>
  <si>
    <t>2W - Apresentação Sensedia</t>
  </si>
  <si>
    <t>Paynet - [Apresentação]  + Sensedia</t>
  </si>
  <si>
    <t xml:space="preserve"> MAG Finanças -  alinhamento</t>
  </si>
  <si>
    <t>Cliente</t>
  </si>
  <si>
    <t>Parcerias</t>
  </si>
  <si>
    <t>Nulo</t>
  </si>
  <si>
    <t>Education</t>
  </si>
  <si>
    <t>Solutions</t>
  </si>
  <si>
    <t>Open Banking</t>
  </si>
  <si>
    <t>BizDevs</t>
  </si>
  <si>
    <t>C6 Bank -  Service Mesh</t>
  </si>
  <si>
    <t>FastPays - Projeto</t>
  </si>
  <si>
    <t>FitBank - Agenda Presencial - Open Finance</t>
  </si>
  <si>
    <t>Mundoinvest - Sensedia] Conversa</t>
  </si>
  <si>
    <t>Pagol -  Demo Plataforma Sensedia | Proposta Comercial</t>
  </si>
  <si>
    <t>PJ Bank - Open Finance Sensedia</t>
  </si>
  <si>
    <t>2W - Detalhamento do Escopo MVP</t>
  </si>
  <si>
    <t xml:space="preserve">SUSEP - [RESERVA] RFP </t>
  </si>
  <si>
    <t>Stone - Transfer Meeting</t>
  </si>
  <si>
    <t xml:space="preserve">Stone - Open Finance Sensedia - Kick Off Meeting </t>
  </si>
  <si>
    <t xml:space="preserve">SUSEP - RFP Squad Review </t>
  </si>
  <si>
    <t>ALELO - [Urgente] - Apoio Alelo / Apis Manager</t>
  </si>
  <si>
    <t xml:space="preserve">Mundo Invest - Alinhamento </t>
  </si>
  <si>
    <t xml:space="preserve">CNSeg - Alinhamento RFP - </t>
  </si>
  <si>
    <t xml:space="preserve">certsign - Papo </t>
  </si>
  <si>
    <t>Cogna - Proposta de POC Senedia/Cogna</t>
  </si>
  <si>
    <t>SUSEP - RFP SUSEP</t>
  </si>
  <si>
    <t>SUSEP - RFP SUSEP - Dimensionamento da Equipe</t>
  </si>
  <si>
    <t>SUSEP - RFP Susep - Pré Agenda</t>
  </si>
  <si>
    <t>SUSEP - Sensedia - Refinamento da Proposta - RFP Seguros - Oficio SUSEP</t>
  </si>
  <si>
    <t>SPIC - Sensedia -  - Demonstração API Platform</t>
  </si>
  <si>
    <t xml:space="preserve">Stone - Sensedia - </t>
  </si>
  <si>
    <t xml:space="preserve"> Vibra Energia - Sensedia &amp;</t>
  </si>
  <si>
    <t xml:space="preserve">SPIC - Sensedia + </t>
  </si>
  <si>
    <t>Agricopel - Sensedia +</t>
  </si>
  <si>
    <t xml:space="preserve"> Vibra Energia -  + Sensedia</t>
  </si>
  <si>
    <t xml:space="preserve"> Vibra Energia -  + Sensedia @ Fri, Mar 17, 2023 2:00pm – 3:00pm (GMT-03)</t>
  </si>
  <si>
    <t>PDI</t>
  </si>
  <si>
    <t>Filtros</t>
  </si>
  <si>
    <t>#filtro</t>
  </si>
  <si>
    <t>cliente</t>
  </si>
  <si>
    <t xml:space="preserve">Crefisa - Open Banking Fase 3 - </t>
  </si>
  <si>
    <t>Travelex - Interna] Conectividade</t>
  </si>
  <si>
    <t>FastPays - Projeto novo</t>
  </si>
  <si>
    <t xml:space="preserve"> MAG Finanças - Focus time - Propostas e Reserva para </t>
  </si>
  <si>
    <t>(Vários itens)</t>
  </si>
  <si>
    <t>2W</t>
  </si>
  <si>
    <t>Agricopel</t>
  </si>
  <si>
    <t>ALELO</t>
  </si>
  <si>
    <t>C6 Bank</t>
  </si>
  <si>
    <t>certsign</t>
  </si>
  <si>
    <t>CNSeg</t>
  </si>
  <si>
    <t>Cogna</t>
  </si>
  <si>
    <t>Crefisa</t>
  </si>
  <si>
    <t>EDP</t>
  </si>
  <si>
    <t>ICONIC</t>
  </si>
  <si>
    <t>Jamef</t>
  </si>
  <si>
    <t>Mundo Invest</t>
  </si>
  <si>
    <t>Pagol</t>
  </si>
  <si>
    <t>Paynet</t>
  </si>
  <si>
    <t>PJ Bank</t>
  </si>
  <si>
    <t>Prysmian</t>
  </si>
  <si>
    <t>Stone</t>
  </si>
  <si>
    <t>SUSEP</t>
  </si>
  <si>
    <t>Travelex</t>
  </si>
  <si>
    <t>Vibra Energia</t>
  </si>
  <si>
    <t>Total Geral</t>
  </si>
  <si>
    <t>Rótulos de Linha</t>
  </si>
  <si>
    <t>Soma de #horas</t>
  </si>
  <si>
    <t>Cogna - [Open Education] - Thiago / Flavio Nunes - Desenho PoC</t>
  </si>
  <si>
    <t>Cogna - Sensedia | Desenho de PoC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</si>
</sst>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[$-F400]h:mm:ss\ AM/PM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9">
    <xf numFmtId="0" fontId="0" fillId="0" borderId="0" xfId="0"/>
    <xf numFmtId="22" fontId="0" fillId="0" borderId="0" xfId="0" applyNumberFormat="1"/>
    <xf numFmtId="0" fontId="0" fillId="0" borderId="0" xfId="0" applyNumberFormat="1"/>
    <xf numFmtId="0" fontId="0" fillId="2" borderId="1" xfId="0" applyFont="1" applyFill="1" applyBorder="1"/>
    <xf numFmtId="0" fontId="0" fillId="0" borderId="1" xfId="0" applyFont="1" applyBorder="1"/>
    <xf numFmtId="16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1">
    <cellStyle name="Normal" xfId="0" builtinId="0"/>
  </cellStyles>
  <dxfs count="17">
    <dxf>
      <numFmt numFmtId="165" formatCode="[$-F400]h:mm:ss\ AM/PM"/>
    </dxf>
    <dxf>
      <numFmt numFmtId="165" formatCode="[$-F400]h:mm:ss\ AM/P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[$-F400]h:mm:ss\ AM/PM"/>
    </dxf>
    <dxf>
      <numFmt numFmtId="27" formatCode="dd/mm/yyyy\ hh:mm"/>
    </dxf>
    <dxf>
      <numFmt numFmtId="27" formatCode="dd/mm/yyyy\ hh:mm"/>
    </dxf>
    <dxf>
      <numFmt numFmtId="165" formatCode="[$-F400]h:mm:ss\ AM/PM"/>
    </dxf>
    <dxf>
      <numFmt numFmtId="165" formatCode="[$-F400]h:mm:ss\ AM/PM"/>
    </dxf>
    <dxf>
      <numFmt numFmtId="165" formatCode="[$-F400]h:mm:ss\ AM/PM"/>
    </dxf>
    <dxf>
      <numFmt numFmtId="165" formatCode="[$-F400]h:mm:ss\ AM/PM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lavio Nunes Lopes" refreshedDate="45016.741449652778" createdVersion="8" refreshedVersion="8" minRefreshableVersion="3" recordCount="211" xr:uid="{43AAF0ED-84E8-42B7-AA45-F481B9757057}">
  <cacheSource type="worksheet">
    <worksheetSource name="flavio_2023_mar_events"/>
  </cacheSource>
  <cacheFields count="13">
    <cacheField name="calendar_owner_name" numFmtId="22">
      <sharedItems containsSemiMixedTypes="0" containsNonDate="0" containsDate="1" containsString="0" minDate="2023-03-01T08:45:00" maxDate="2023-03-31T14:00:00"/>
    </cacheField>
    <cacheField name="calendar_owner_email" numFmtId="22">
      <sharedItems containsSemiMixedTypes="0" containsNonDate="0" containsDate="1" containsString="0" minDate="2023-03-01T09:15:00" maxDate="2023-03-31T19:00:00"/>
    </cacheField>
    <cacheField name="start_date" numFmtId="0">
      <sharedItems containsSemiMixedTypes="0" containsString="0" containsNumber="1" containsInteger="1" minValue="5" maxValue="1.6666666666666666E+16"/>
    </cacheField>
    <cacheField name="filter" numFmtId="0">
      <sharedItems containsMixedTypes="1" containsNumber="1" containsInteger="1" minValue="0" maxValue="0" count="8">
        <s v="C"/>
        <s v="P"/>
        <n v="0"/>
        <s v="E"/>
        <s v="S"/>
        <s v="O"/>
        <s v="B"/>
        <s v="PDI"/>
      </sharedItems>
    </cacheField>
    <cacheField name="#filtro" numFmtId="0">
      <sharedItems count="8">
        <s v="Cliente"/>
        <s v="Parcerias"/>
        <s v="Nulo"/>
        <s v="Education"/>
        <s v="Solutions"/>
        <s v="Open Banking"/>
        <s v="BizDevs"/>
        <s v="PDI"/>
      </sharedItems>
    </cacheField>
    <cacheField name="cliente" numFmtId="0">
      <sharedItems count="27">
        <s v="Crefisa"/>
        <s v="--"/>
        <s v="Paynet"/>
        <s v="C6 Bank"/>
        <s v="FastPays"/>
        <s v="FitBank"/>
        <s v="Mundoinvest"/>
        <s v="Cogna"/>
        <s v="Pagol"/>
        <s v="PJ Bank"/>
        <s v="2W"/>
        <s v="SUSEP"/>
        <s v="Stone"/>
        <s v="Travelex"/>
        <s v="ALELO"/>
        <s v="SPIC"/>
        <s v="Prysmian"/>
        <s v="MAG Finanças"/>
        <s v="Mundo Invest"/>
        <s v="CNSeg"/>
        <s v="EDP"/>
        <s v="Jamef"/>
        <s v="ICONIC"/>
        <s v="FIBrasil"/>
        <s v="certsign"/>
        <s v="Vibra Energia"/>
        <s v="Agricopel"/>
      </sharedItems>
    </cacheField>
    <cacheField name="#horas" numFmtId="165">
      <sharedItems containsSemiMixedTypes="0" containsNonDate="0" containsDate="1" containsString="0" minDate="1899-12-30T00:10:00" maxDate="1900-01-01T00:00:00"/>
    </cacheField>
    <cacheField name="titulo" numFmtId="0">
      <sharedItems count="122">
        <s v="Crefisa - Open Banking Fase 3 - "/>
        <s v="[1:1] Maria : Soave"/>
        <s v="Paynet - [Apresentação]  + Sensedia"/>
        <s v="[Banpará] Como monetizar com Open Banking? "/>
        <s v="C6 Bank -  Service Mesh"/>
        <s v="[Confirmado] YDUQS - Open Education "/>
        <s v="FastPays - Projeto"/>
        <s v="FitBank - Agenda Presencial - Open Finance"/>
        <s v="[GTM IpaaS] - Sales Enablement"/>
        <s v="Mundoinvest - Sensedia] Conversa"/>
        <s v="Cogna - [Open Education] - Thiago / Flavio Nunes - Desenho PoC"/>
        <s v="[Open] Tribo - Acompanhamento semanal"/>
        <s v="Pagol -  Demo Plataforma Sensedia | Proposta Comercial"/>
        <s v="[PAGSEGURO] Recorrencia semanal."/>
        <s v="PJ Bank - Open Finance Sensedia"/>
        <s v="[Presencial] Bate Papo Cogna/Sensedia"/>
        <s v="[Regionais] Alinhamento Geral"/>
        <s v="2W - Detalhamento do Escopo MVP"/>
        <s v="SUSEP - [RESERVA] RFP "/>
        <s v="[Sheila + Denise + Thiago] - Weekly "/>
        <s v="[Solutions Workshop] Apresentação "/>
        <s v="Stone - Transfer Meeting"/>
        <s v="Stone - Open Finance Sensedia - Kick Off Meeting "/>
        <s v="SUSEP - RFP Squad Review "/>
        <s v="Travelex - Interna] Conectividade"/>
        <s v="ALELO - [Urgente] - Apoio Alelo / Apis Manager"/>
        <s v="[Weekly Técnico Pré-Sales]"/>
        <s v="1:1 Weekly - Roberta Prado / Flavio Nunes"/>
        <s v="Alelo - apoio da Consultoria - alinhar visão geral da solução proposta na venda"/>
        <s v="SPIC - Alinhamento - Pre Agenda "/>
        <s v="Prysmian - Alinhamento !!Garage!! "/>
        <s v="2W - Alinhamento - Apresentação"/>
        <s v="2W - Alinhamento apresentação 2W Energia"/>
        <s v="2W - Alinhamento DX - MVP 2W Energia"/>
        <s v=" MAG Finanças - Alinhamento Interno"/>
        <s v="Mundo Invest - Alinhamento "/>
        <s v="CNSeg - Alinhamento RFP - "/>
        <s v="Alinhamento Sensedia"/>
        <s v="SPIC  - Alinhamento "/>
        <s v="Alinhamento Treinamento Parcerias"/>
        <s v="SPIC - Apresentação Proposta"/>
        <s v="2W - Apresentação Sensedia"/>
        <s v="EDP - Apresentação SENSEDIA para - Como as APIs podem alavancar a sua transformação digital?"/>
        <s v="Call sobre Sugestões Qualificacao"/>
        <s v="Capacitação Técnica - Sensedia SPIN - Day 1"/>
        <s v="Cogna - Sensedia | Desenho de PoC"/>
        <s v="Jamef - Conversa |  Sensedia"/>
        <s v="ICONIC - Conversa Sensedia e "/>
        <s v="Daily | Solutions Team"/>
        <s v="Encontro com o Time de Solutions"/>
        <s v="English Class - Fluentia"/>
        <s v="FastPays - Projeto novo"/>
        <s v="Feedback TR Flavio"/>
        <s v="FIBrasil"/>
        <s v="Flavio / Renan"/>
        <s v="Flavio Nunes / Joao"/>
        <s v="Flavio Nunes / Renan"/>
        <s v=" MAG Finanças - Focus time - Propostas e Reserva para "/>
        <s v="SUSEP - Focus time - RFP SUSEP &amp; Stone"/>
        <s v="FitBank - Fora do escritório - Deslocamento Agenda Presencial- FitBank"/>
        <s v="Fora do escritório - Deslocamento Office"/>
        <s v="Fora do escritório - Exames"/>
        <s v="IT Scribe Project - Kick-off"/>
        <s v="Lançamento programa de mentoria 2023!"/>
        <s v=" MAG Finanças -  alinhamento"/>
        <s v="MAG Finanças"/>
        <s v="MAG Finanças - Alinhamento para Entendimento de Apoio Backend"/>
        <s v="Open Education - Próximos Passos"/>
        <s v="Open Education | YDUQS | Cogna"/>
        <s v="Open Education Checkpoint"/>
        <s v="Open Finance Strat Sync"/>
        <s v="Out of office - Compensação de Horas"/>
        <s v="Out of office - Evento API Con"/>
        <s v="Out of office - Lunch Time"/>
        <s v="Stone - Overview Sensedia"/>
        <s v="Palestra Sucesu - Ensaio"/>
        <s v="certsign - Papo "/>
        <s v="Papo Open Education Sensedia/Uol Edtech"/>
        <s v="Placeholder - agenda Sensedia e Yduqs"/>
        <s v="Product Feedback Meeting From Sales/Solutions"/>
        <s v="Programa de mentoria 2023 | Fórum de mentores"/>
        <s v="Cogna - Proposta de POC Senedia/Cogna"/>
        <s v="Reserva - Médico Crianças"/>
        <s v="Review Expand"/>
        <s v="SUSEP - RFP SUSEP"/>
        <s v="SUSEP - RFP SUSEP - Dimensionamento da Equipe"/>
        <s v="SUSEP - RFP Susep - Pré Agenda"/>
        <s v="MAG Finanças - Sensedia - Open Banking - "/>
        <s v="SUSEP - Sensedia - Refinamento da Proposta - RFP Seguros - Oficio SUSEP"/>
        <s v="SPIC - Sensedia -  - Demonstração API Platform"/>
        <s v="Stone - Sensedia - "/>
        <s v="MAG Finanças - Sensedia &amp; Mag Finanças - Apresentação de Proposta"/>
        <s v="MAG Finanças - Sensedia &amp; MAG Finanças - Nova versão de Proposta"/>
        <s v=" Vibra Energia - Sensedia &amp;"/>
        <s v="SPIC - Sensedia + "/>
        <s v="Agricopel - Sensedia +"/>
        <s v="SMR + Celebration"/>
        <s v="Solution Tech Meetings - Platform Services"/>
        <s v="Solution Tech Meetings - Post Mortem"/>
        <s v="Solution Tech Meetings - Tira-Dúvidas sobre Platform Services"/>
        <s v="SPIC - Alinhamento Demo"/>
        <s v="STM | Qualification Process Collab"/>
        <s v="Stone - Conectividade"/>
        <s v="Stone - Esclarecimento de Dúvidas - Infraestrutura e Conectividade"/>
        <s v="Trilha Customer Facing"/>
        <s v="Updates JIRA - Bora atualizar!!"/>
        <s v="Validação Produção Cielo x Sicredi "/>
        <s v=" Vibra Energia -  + Sensedia"/>
        <s v=" Vibra Energia -  + Sensedia @ Fri, Mar 17, 2023 2:00pm – 3:00pm (GMT-03)"/>
        <s v="Visita Omni "/>
        <s v="Weekly - Business Unit - Finance &amp; Oil and Gas - Utilities"/>
        <s v="Well Being- C4Life "/>
        <s v="WGO Delight Customer"/>
        <s v="WGO International Expansion"/>
        <s v="WGO Platform Vision "/>
        <s v="WGO Topline Revenue"/>
        <s v="🌎(New) Global Sport Game - Sensedia &amp; BetterFly"/>
        <s v="📍 Plural Week 2023 - Day 01 📍"/>
        <s v="📍Plural Week 2023 - Day 02📍"/>
        <s v="📍Plural Week 2023 - Day 03 📍"/>
        <s v="📍Plural Week 2023 - Day 04📍"/>
        <s v="📍Plural Week 2023 - Day 05 📍"/>
      </sharedItems>
    </cacheField>
    <cacheField name="duration" numFmtId="0">
      <sharedItems/>
    </cacheField>
    <cacheField name="event" numFmtId="0">
      <sharedItems/>
    </cacheField>
    <cacheField name="created" numFmtId="0">
      <sharedItems/>
    </cacheField>
    <cacheField name="organizaer" numFmtId="0">
      <sharedItems/>
    </cacheField>
    <cacheField name="attendees[email|name|response_status]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1">
  <r>
    <d v="2023-03-27T17:00:00"/>
    <d v="2023-03-27T18:00:00"/>
    <n v="10"/>
    <x v="0"/>
    <x v="0"/>
    <x v="0"/>
    <d v="1899-12-30T01:00:00"/>
    <x v="0"/>
    <s v=""/>
    <s v=""/>
    <s v=""/>
    <s v=""/>
    <s v=""/>
  </r>
  <r>
    <d v="2023-03-20T09:30:00"/>
    <d v="2023-03-20T10:00:00"/>
    <n v="5"/>
    <x v="1"/>
    <x v="1"/>
    <x v="1"/>
    <d v="1899-12-30T00:30:00"/>
    <x v="1"/>
    <s v=""/>
    <s v=""/>
    <s v=""/>
    <s v=""/>
    <s v=""/>
  </r>
  <r>
    <d v="2023-03-22T10:00:00"/>
    <d v="2023-03-22T11:00:00"/>
    <n v="10"/>
    <x v="0"/>
    <x v="0"/>
    <x v="2"/>
    <d v="1899-12-30T01:00:00"/>
    <x v="2"/>
    <s v=""/>
    <s v=""/>
    <s v=""/>
    <s v=""/>
    <s v=""/>
  </r>
  <r>
    <d v="2023-03-30T11:00:00"/>
    <d v="2023-03-30T12:00:00"/>
    <n v="10"/>
    <x v="2"/>
    <x v="2"/>
    <x v="1"/>
    <d v="1899-12-30T01:00:00"/>
    <x v="3"/>
    <s v=""/>
    <s v=""/>
    <s v=""/>
    <s v=""/>
    <s v=""/>
  </r>
  <r>
    <d v="2023-03-22T11:30:00"/>
    <d v="2023-03-22T11:45:00"/>
    <n v="25"/>
    <x v="0"/>
    <x v="0"/>
    <x v="3"/>
    <d v="1899-12-30T00:15:00"/>
    <x v="4"/>
    <s v=""/>
    <s v=""/>
    <s v=""/>
    <s v=""/>
    <s v=""/>
  </r>
  <r>
    <d v="2023-03-14T11:00:00"/>
    <d v="2023-03-14T11:30:00"/>
    <n v="5"/>
    <x v="3"/>
    <x v="3"/>
    <x v="1"/>
    <d v="1899-12-30T00:30:00"/>
    <x v="5"/>
    <s v=""/>
    <s v=""/>
    <s v=""/>
    <s v=""/>
    <s v=""/>
  </r>
  <r>
    <d v="2023-03-24T09:00:00"/>
    <d v="2023-03-24T10:00:00"/>
    <n v="10"/>
    <x v="0"/>
    <x v="0"/>
    <x v="4"/>
    <d v="1899-12-30T01:00:00"/>
    <x v="6"/>
    <s v=""/>
    <s v=""/>
    <s v=""/>
    <s v=""/>
    <s v=""/>
  </r>
  <r>
    <d v="2023-03-09T10:00:00"/>
    <d v="2023-03-09T11:00:00"/>
    <n v="10"/>
    <x v="0"/>
    <x v="0"/>
    <x v="5"/>
    <d v="1899-12-30T01:00:00"/>
    <x v="7"/>
    <s v=""/>
    <s v=""/>
    <s v=""/>
    <s v=""/>
    <s v=""/>
  </r>
  <r>
    <d v="2023-03-01T16:00:00"/>
    <d v="2023-03-01T17:00:00"/>
    <n v="10"/>
    <x v="4"/>
    <x v="4"/>
    <x v="1"/>
    <d v="1899-12-30T01:00:00"/>
    <x v="8"/>
    <s v=""/>
    <s v=""/>
    <s v=""/>
    <s v=""/>
    <s v=""/>
  </r>
  <r>
    <d v="2023-03-08T16:00:00"/>
    <d v="2023-03-08T17:00:00"/>
    <n v="10"/>
    <x v="4"/>
    <x v="4"/>
    <x v="1"/>
    <d v="1899-12-30T01:00:00"/>
    <x v="8"/>
    <s v=""/>
    <s v=""/>
    <s v=""/>
    <s v=""/>
    <s v=""/>
  </r>
  <r>
    <d v="2023-03-15T16:00:00"/>
    <d v="2023-03-15T17:00:00"/>
    <n v="10"/>
    <x v="4"/>
    <x v="4"/>
    <x v="1"/>
    <d v="1899-12-30T01:00:00"/>
    <x v="8"/>
    <s v=""/>
    <s v=""/>
    <s v=""/>
    <s v=""/>
    <s v=""/>
  </r>
  <r>
    <d v="2023-03-22T16:00:00"/>
    <d v="2023-03-22T17:00:00"/>
    <n v="10"/>
    <x v="4"/>
    <x v="4"/>
    <x v="1"/>
    <d v="1899-12-30T01:00:00"/>
    <x v="8"/>
    <s v=""/>
    <s v=""/>
    <s v=""/>
    <s v=""/>
    <s v=""/>
  </r>
  <r>
    <d v="2023-03-29T16:00:00"/>
    <d v="2023-03-29T17:00:00"/>
    <n v="10"/>
    <x v="4"/>
    <x v="4"/>
    <x v="1"/>
    <d v="1899-12-30T01:00:00"/>
    <x v="8"/>
    <s v=""/>
    <s v=""/>
    <s v=""/>
    <s v=""/>
    <s v=""/>
  </r>
  <r>
    <d v="2023-03-14T14:30:00"/>
    <d v="2023-03-14T15:15:00"/>
    <n v="75"/>
    <x v="0"/>
    <x v="0"/>
    <x v="6"/>
    <d v="1899-12-30T00:45:00"/>
    <x v="9"/>
    <s v=""/>
    <s v=""/>
    <s v=""/>
    <s v=""/>
    <s v=""/>
  </r>
  <r>
    <d v="2023-03-14T14:00:00"/>
    <d v="2023-03-14T14:30:00"/>
    <n v="5"/>
    <x v="0"/>
    <x v="0"/>
    <x v="7"/>
    <d v="1899-12-30T00:30:00"/>
    <x v="10"/>
    <s v=""/>
    <s v=""/>
    <s v=""/>
    <s v=""/>
    <s v=""/>
  </r>
  <r>
    <d v="2023-03-02T11:00:00"/>
    <d v="2023-03-02T12:00:00"/>
    <n v="10"/>
    <x v="5"/>
    <x v="5"/>
    <x v="1"/>
    <d v="1899-12-30T01:00:00"/>
    <x v="11"/>
    <s v=""/>
    <s v=""/>
    <s v=""/>
    <s v=""/>
    <s v=""/>
  </r>
  <r>
    <d v="2023-03-09T11:00:00"/>
    <d v="2023-03-09T12:00:00"/>
    <n v="10"/>
    <x v="5"/>
    <x v="5"/>
    <x v="1"/>
    <d v="1899-12-30T01:00:00"/>
    <x v="11"/>
    <s v=""/>
    <s v=""/>
    <s v=""/>
    <s v=""/>
    <s v=""/>
  </r>
  <r>
    <d v="2023-03-16T11:00:00"/>
    <d v="2023-03-16T12:00:00"/>
    <n v="10"/>
    <x v="5"/>
    <x v="5"/>
    <x v="1"/>
    <d v="1899-12-30T01:00:00"/>
    <x v="11"/>
    <s v=""/>
    <s v=""/>
    <s v=""/>
    <s v=""/>
    <s v=""/>
  </r>
  <r>
    <d v="2023-03-23T11:00:00"/>
    <d v="2023-03-23T12:00:00"/>
    <n v="10"/>
    <x v="5"/>
    <x v="5"/>
    <x v="1"/>
    <d v="1899-12-30T01:00:00"/>
    <x v="11"/>
    <s v=""/>
    <s v=""/>
    <s v=""/>
    <s v=""/>
    <s v=""/>
  </r>
  <r>
    <d v="2023-03-30T11:00:00"/>
    <d v="2023-03-30T12:00:00"/>
    <n v="10"/>
    <x v="5"/>
    <x v="5"/>
    <x v="1"/>
    <d v="1899-12-30T01:00:00"/>
    <x v="11"/>
    <s v=""/>
    <s v=""/>
    <s v=""/>
    <s v=""/>
    <s v=""/>
  </r>
  <r>
    <d v="2023-03-02T17:00:00"/>
    <d v="2023-03-02T18:30:00"/>
    <n v="15"/>
    <x v="0"/>
    <x v="0"/>
    <x v="8"/>
    <d v="1899-12-30T01:30:00"/>
    <x v="12"/>
    <s v=""/>
    <s v=""/>
    <s v=""/>
    <s v=""/>
    <s v=""/>
  </r>
  <r>
    <d v="2023-03-01T11:30:00"/>
    <d v="2023-03-01T12:00:00"/>
    <n v="5"/>
    <x v="2"/>
    <x v="2"/>
    <x v="1"/>
    <d v="1899-12-30T00:30:00"/>
    <x v="13"/>
    <s v=""/>
    <s v=""/>
    <s v=""/>
    <s v=""/>
    <s v=""/>
  </r>
  <r>
    <d v="2023-03-08T11:30:00"/>
    <d v="2023-03-08T12:00:00"/>
    <n v="5"/>
    <x v="2"/>
    <x v="2"/>
    <x v="1"/>
    <d v="1899-12-30T00:30:00"/>
    <x v="13"/>
    <s v=""/>
    <s v=""/>
    <s v=""/>
    <s v=""/>
    <s v=""/>
  </r>
  <r>
    <d v="2023-03-17T15:00:00"/>
    <d v="2023-03-17T15:30:00"/>
    <n v="5"/>
    <x v="2"/>
    <x v="2"/>
    <x v="1"/>
    <d v="1899-12-30T00:30:00"/>
    <x v="13"/>
    <s v=""/>
    <s v=""/>
    <s v=""/>
    <s v=""/>
    <s v=""/>
  </r>
  <r>
    <d v="2023-03-22T11:30:00"/>
    <d v="2023-03-22T12:00:00"/>
    <n v="5"/>
    <x v="2"/>
    <x v="2"/>
    <x v="1"/>
    <d v="1899-12-30T00:30:00"/>
    <x v="13"/>
    <s v=""/>
    <s v=""/>
    <s v=""/>
    <s v=""/>
    <s v=""/>
  </r>
  <r>
    <d v="2023-03-29T11:30:00"/>
    <d v="2023-03-29T12:00:00"/>
    <n v="5"/>
    <x v="2"/>
    <x v="2"/>
    <x v="1"/>
    <d v="1899-12-30T00:30:00"/>
    <x v="13"/>
    <s v=""/>
    <s v=""/>
    <s v=""/>
    <s v=""/>
    <s v=""/>
  </r>
  <r>
    <d v="2023-03-15T10:00:00"/>
    <d v="2023-03-15T11:00:00"/>
    <n v="10"/>
    <x v="0"/>
    <x v="0"/>
    <x v="9"/>
    <d v="1899-12-30T01:00:00"/>
    <x v="14"/>
    <s v=""/>
    <s v=""/>
    <s v=""/>
    <s v=""/>
    <s v=""/>
  </r>
  <r>
    <d v="2023-03-14T17:00:00"/>
    <d v="2023-03-14T18:00:00"/>
    <n v="10"/>
    <x v="2"/>
    <x v="2"/>
    <x v="1"/>
    <d v="1899-12-30T01:00:00"/>
    <x v="15"/>
    <s v=""/>
    <s v=""/>
    <s v=""/>
    <s v=""/>
    <s v=""/>
  </r>
  <r>
    <d v="2023-03-20T13:30:00"/>
    <d v="2023-03-20T14:15:00"/>
    <n v="75"/>
    <x v="6"/>
    <x v="6"/>
    <x v="1"/>
    <d v="1899-12-30T00:45:00"/>
    <x v="16"/>
    <s v=""/>
    <s v=""/>
    <s v=""/>
    <s v=""/>
    <s v=""/>
  </r>
  <r>
    <d v="2023-03-24T10:00:00"/>
    <d v="2023-03-24T11:00:00"/>
    <n v="10"/>
    <x v="0"/>
    <x v="0"/>
    <x v="10"/>
    <d v="1899-12-30T01:00:00"/>
    <x v="17"/>
    <s v=""/>
    <s v=""/>
    <s v=""/>
    <s v=""/>
    <s v=""/>
  </r>
  <r>
    <d v="2023-03-01T14:30:00"/>
    <d v="2023-03-01T16:00:00"/>
    <n v="15"/>
    <x v="0"/>
    <x v="0"/>
    <x v="11"/>
    <d v="1899-12-30T01:30:00"/>
    <x v="18"/>
    <s v=""/>
    <s v=""/>
    <s v=""/>
    <s v=""/>
    <s v=""/>
  </r>
  <r>
    <d v="2023-03-07T09:30:00"/>
    <d v="2023-03-07T10:00:00"/>
    <n v="5"/>
    <x v="6"/>
    <x v="6"/>
    <x v="1"/>
    <d v="1899-12-30T00:30:00"/>
    <x v="19"/>
    <s v=""/>
    <s v=""/>
    <s v=""/>
    <s v=""/>
    <s v=""/>
  </r>
  <r>
    <d v="2023-03-14T09:30:00"/>
    <d v="2023-03-14T10:00:00"/>
    <n v="5"/>
    <x v="6"/>
    <x v="6"/>
    <x v="1"/>
    <d v="1899-12-30T00:30:00"/>
    <x v="19"/>
    <s v=""/>
    <s v=""/>
    <s v=""/>
    <s v=""/>
    <s v=""/>
  </r>
  <r>
    <d v="2023-03-21T09:30:00"/>
    <d v="2023-03-21T10:00:00"/>
    <n v="5"/>
    <x v="6"/>
    <x v="6"/>
    <x v="1"/>
    <d v="1899-12-30T00:30:00"/>
    <x v="19"/>
    <s v=""/>
    <s v=""/>
    <s v=""/>
    <s v=""/>
    <s v=""/>
  </r>
  <r>
    <d v="2023-03-28T09:30:00"/>
    <d v="2023-03-28T10:00:00"/>
    <n v="5"/>
    <x v="6"/>
    <x v="6"/>
    <x v="1"/>
    <d v="1899-12-30T00:30:00"/>
    <x v="19"/>
    <s v=""/>
    <s v=""/>
    <s v=""/>
    <s v=""/>
    <s v=""/>
  </r>
  <r>
    <d v="2023-03-21T08:00:00"/>
    <d v="2023-03-21T08:45:00"/>
    <n v="75"/>
    <x v="4"/>
    <x v="4"/>
    <x v="1"/>
    <d v="1899-12-30T00:45:00"/>
    <x v="20"/>
    <s v=""/>
    <s v=""/>
    <s v=""/>
    <s v=""/>
    <s v=""/>
  </r>
  <r>
    <d v="2023-03-06T11:00:00"/>
    <d v="2023-03-06T11:50:00"/>
    <n v="8333333333333334"/>
    <x v="0"/>
    <x v="0"/>
    <x v="12"/>
    <d v="1899-12-30T00:50:00"/>
    <x v="21"/>
    <s v=""/>
    <s v=""/>
    <s v=""/>
    <s v=""/>
    <s v=""/>
  </r>
  <r>
    <d v="2023-03-06T14:00:00"/>
    <d v="2023-03-06T15:00:00"/>
    <n v="10"/>
    <x v="0"/>
    <x v="0"/>
    <x v="12"/>
    <d v="1899-12-30T01:00:00"/>
    <x v="22"/>
    <s v=""/>
    <s v=""/>
    <s v=""/>
    <s v=""/>
    <s v=""/>
  </r>
  <r>
    <d v="2023-03-01T17:00:00"/>
    <d v="2023-03-01T17:30:00"/>
    <n v="5"/>
    <x v="0"/>
    <x v="0"/>
    <x v="11"/>
    <d v="1899-12-30T00:30:00"/>
    <x v="23"/>
    <s v=""/>
    <s v=""/>
    <s v=""/>
    <s v=""/>
    <s v=""/>
  </r>
  <r>
    <d v="2023-03-29T16:00:00"/>
    <d v="2023-03-29T16:30:00"/>
    <n v="5"/>
    <x v="0"/>
    <x v="0"/>
    <x v="13"/>
    <d v="1899-12-30T00:30:00"/>
    <x v="24"/>
    <s v=""/>
    <s v=""/>
    <s v=""/>
    <s v=""/>
    <s v=""/>
  </r>
  <r>
    <d v="2023-03-13T13:00:00"/>
    <d v="2023-03-13T13:50:00"/>
    <n v="8333333333333334"/>
    <x v="0"/>
    <x v="0"/>
    <x v="14"/>
    <d v="1899-12-30T00:50:00"/>
    <x v="25"/>
    <s v=""/>
    <s v=""/>
    <s v=""/>
    <s v=""/>
    <s v=""/>
  </r>
  <r>
    <d v="2023-03-10T15:00:00"/>
    <d v="2023-03-10T16:00:00"/>
    <n v="10"/>
    <x v="4"/>
    <x v="4"/>
    <x v="1"/>
    <d v="1899-12-30T01:00:00"/>
    <x v="26"/>
    <s v=""/>
    <s v=""/>
    <s v=""/>
    <s v=""/>
    <s v=""/>
  </r>
  <r>
    <d v="2023-03-24T15:00:00"/>
    <d v="2023-03-24T16:00:00"/>
    <n v="10"/>
    <x v="4"/>
    <x v="4"/>
    <x v="1"/>
    <d v="1899-12-30T01:00:00"/>
    <x v="26"/>
    <s v=""/>
    <s v=""/>
    <s v=""/>
    <s v=""/>
    <s v=""/>
  </r>
  <r>
    <d v="2023-03-06T11:45:00"/>
    <d v="2023-03-06T12:00:00"/>
    <n v="25"/>
    <x v="6"/>
    <x v="6"/>
    <x v="1"/>
    <d v="1899-12-30T00:15:00"/>
    <x v="27"/>
    <s v=""/>
    <s v=""/>
    <s v=""/>
    <s v=""/>
    <s v=""/>
  </r>
  <r>
    <d v="2023-03-13T11:45:00"/>
    <d v="2023-03-13T12:00:00"/>
    <n v="25"/>
    <x v="6"/>
    <x v="6"/>
    <x v="1"/>
    <d v="1899-12-30T00:15:00"/>
    <x v="27"/>
    <s v=""/>
    <s v=""/>
    <s v=""/>
    <s v=""/>
    <s v=""/>
  </r>
  <r>
    <d v="2023-03-20T11:45:00"/>
    <d v="2023-03-20T12:00:00"/>
    <n v="25"/>
    <x v="6"/>
    <x v="6"/>
    <x v="1"/>
    <d v="1899-12-30T00:15:00"/>
    <x v="27"/>
    <s v=""/>
    <s v=""/>
    <s v=""/>
    <s v=""/>
    <s v=""/>
  </r>
  <r>
    <d v="2023-03-27T11:45:00"/>
    <d v="2023-03-27T12:00:00"/>
    <n v="25"/>
    <x v="6"/>
    <x v="6"/>
    <x v="1"/>
    <d v="1899-12-30T00:15:00"/>
    <x v="27"/>
    <s v=""/>
    <s v=""/>
    <s v=""/>
    <s v=""/>
    <s v=""/>
  </r>
  <r>
    <d v="2023-03-03T10:00:00"/>
    <d v="2023-03-03T11:00:00"/>
    <n v="10"/>
    <x v="0"/>
    <x v="0"/>
    <x v="14"/>
    <d v="1899-12-30T01:00:00"/>
    <x v="28"/>
    <s v=""/>
    <s v=""/>
    <s v=""/>
    <s v=""/>
    <s v=""/>
  </r>
  <r>
    <d v="2023-03-29T14:00:00"/>
    <d v="2023-03-29T14:30:00"/>
    <n v="5"/>
    <x v="0"/>
    <x v="0"/>
    <x v="15"/>
    <d v="1899-12-30T00:30:00"/>
    <x v="29"/>
    <s v=""/>
    <s v=""/>
    <s v=""/>
    <s v=""/>
    <s v=""/>
  </r>
  <r>
    <d v="2023-03-17T15:30:00"/>
    <d v="2023-03-17T16:00:00"/>
    <n v="5"/>
    <x v="0"/>
    <x v="0"/>
    <x v="16"/>
    <d v="1899-12-30T00:30:00"/>
    <x v="30"/>
    <s v=""/>
    <s v=""/>
    <s v=""/>
    <s v=""/>
    <s v=""/>
  </r>
  <r>
    <d v="2023-03-22T15:00:00"/>
    <d v="2023-03-22T16:00:00"/>
    <n v="10"/>
    <x v="0"/>
    <x v="0"/>
    <x v="10"/>
    <d v="1899-12-30T01:00:00"/>
    <x v="31"/>
    <s v=""/>
    <s v=""/>
    <s v=""/>
    <s v=""/>
    <s v=""/>
  </r>
  <r>
    <d v="2023-03-10T10:00:00"/>
    <d v="2023-03-10T10:30:00"/>
    <n v="5"/>
    <x v="0"/>
    <x v="0"/>
    <x v="10"/>
    <d v="1899-12-30T00:30:00"/>
    <x v="32"/>
    <s v=""/>
    <s v=""/>
    <s v=""/>
    <s v=""/>
    <s v=""/>
  </r>
  <r>
    <d v="2023-03-23T09:30:00"/>
    <d v="2023-03-23T10:00:00"/>
    <n v="5"/>
    <x v="0"/>
    <x v="0"/>
    <x v="10"/>
    <d v="1899-12-30T00:30:00"/>
    <x v="33"/>
    <s v=""/>
    <s v=""/>
    <s v=""/>
    <s v=""/>
    <s v=""/>
  </r>
  <r>
    <d v="2023-03-28T12:50:00"/>
    <d v="2023-03-28T13:00:00"/>
    <n v="1.6666666666666666E+16"/>
    <x v="0"/>
    <x v="0"/>
    <x v="17"/>
    <d v="1899-12-30T00:10:00"/>
    <x v="34"/>
    <s v=""/>
    <s v=""/>
    <s v=""/>
    <s v=""/>
    <s v=""/>
  </r>
  <r>
    <d v="2023-03-17T09:00:00"/>
    <d v="2023-03-17T10:00:00"/>
    <n v="10"/>
    <x v="0"/>
    <x v="0"/>
    <x v="18"/>
    <d v="1899-12-30T01:00:00"/>
    <x v="35"/>
    <s v=""/>
    <s v=""/>
    <s v=""/>
    <s v=""/>
    <s v=""/>
  </r>
  <r>
    <d v="2023-03-09T10:30:00"/>
    <d v="2023-03-09T12:00:00"/>
    <n v="15"/>
    <x v="0"/>
    <x v="0"/>
    <x v="19"/>
    <d v="1899-12-30T01:30:00"/>
    <x v="36"/>
    <s v=""/>
    <s v=""/>
    <s v=""/>
    <s v=""/>
    <s v=""/>
  </r>
  <r>
    <d v="2023-03-03T14:00:00"/>
    <d v="2023-03-03T15:00:00"/>
    <n v="10"/>
    <x v="2"/>
    <x v="2"/>
    <x v="1"/>
    <d v="1899-12-30T01:00:00"/>
    <x v="37"/>
    <s v=""/>
    <s v=""/>
    <s v=""/>
    <s v=""/>
    <s v=""/>
  </r>
  <r>
    <d v="2023-03-10T14:00:00"/>
    <d v="2023-03-10T15:00:00"/>
    <n v="10"/>
    <x v="2"/>
    <x v="2"/>
    <x v="1"/>
    <d v="1899-12-30T01:00:00"/>
    <x v="37"/>
    <s v=""/>
    <s v=""/>
    <s v=""/>
    <s v=""/>
    <s v=""/>
  </r>
  <r>
    <d v="2023-03-17T14:00:00"/>
    <d v="2023-03-17T15:00:00"/>
    <n v="10"/>
    <x v="2"/>
    <x v="2"/>
    <x v="1"/>
    <d v="1899-12-30T01:00:00"/>
    <x v="37"/>
    <s v=""/>
    <s v=""/>
    <s v=""/>
    <s v=""/>
    <s v=""/>
  </r>
  <r>
    <d v="2023-03-24T14:00:00"/>
    <d v="2023-03-24T15:00:00"/>
    <n v="10"/>
    <x v="2"/>
    <x v="2"/>
    <x v="1"/>
    <d v="1899-12-30T01:00:00"/>
    <x v="37"/>
    <s v=""/>
    <s v=""/>
    <s v=""/>
    <s v=""/>
    <s v=""/>
  </r>
  <r>
    <d v="2023-03-31T14:00:00"/>
    <d v="2023-03-31T15:00:00"/>
    <n v="10"/>
    <x v="2"/>
    <x v="2"/>
    <x v="1"/>
    <d v="1899-12-30T01:00:00"/>
    <x v="37"/>
    <s v=""/>
    <s v=""/>
    <s v=""/>
    <s v=""/>
    <s v=""/>
  </r>
  <r>
    <d v="2023-03-17T16:00:00"/>
    <d v="2023-03-17T17:00:00"/>
    <n v="10"/>
    <x v="0"/>
    <x v="0"/>
    <x v="15"/>
    <d v="1899-12-30T01:00:00"/>
    <x v="38"/>
    <s v=""/>
    <s v=""/>
    <s v=""/>
    <s v=""/>
    <s v=""/>
  </r>
  <r>
    <d v="2023-03-17T10:30:00"/>
    <d v="2023-03-17T11:00:00"/>
    <n v="5"/>
    <x v="1"/>
    <x v="1"/>
    <x v="1"/>
    <d v="1899-12-30T00:30:00"/>
    <x v="39"/>
    <s v=""/>
    <s v=""/>
    <s v=""/>
    <s v=""/>
    <s v=""/>
  </r>
  <r>
    <d v="2023-03-29T15:00:00"/>
    <d v="2023-03-29T16:00:00"/>
    <n v="10"/>
    <x v="0"/>
    <x v="0"/>
    <x v="15"/>
    <d v="1899-12-30T01:00:00"/>
    <x v="40"/>
    <s v=""/>
    <s v=""/>
    <s v=""/>
    <s v=""/>
    <s v=""/>
  </r>
  <r>
    <d v="2023-03-13T16:00:00"/>
    <d v="2023-03-13T17:00:00"/>
    <n v="10"/>
    <x v="0"/>
    <x v="0"/>
    <x v="10"/>
    <d v="1899-12-30T01:00:00"/>
    <x v="41"/>
    <s v=""/>
    <s v=""/>
    <s v=""/>
    <s v=""/>
    <s v=""/>
  </r>
  <r>
    <d v="2023-03-20T10:00:00"/>
    <d v="2023-03-20T10:50:00"/>
    <n v="8333333333333334"/>
    <x v="0"/>
    <x v="0"/>
    <x v="20"/>
    <d v="1899-12-30T00:50:00"/>
    <x v="42"/>
    <s v=""/>
    <s v=""/>
    <s v=""/>
    <s v=""/>
    <s v=""/>
  </r>
  <r>
    <d v="2023-03-09T14:30:00"/>
    <d v="2023-03-09T15:00:00"/>
    <n v="5"/>
    <x v="4"/>
    <x v="4"/>
    <x v="1"/>
    <d v="1899-12-30T00:30:00"/>
    <x v="43"/>
    <s v=""/>
    <s v=""/>
    <s v=""/>
    <s v=""/>
    <s v=""/>
  </r>
  <r>
    <d v="2023-03-21T09:00:00"/>
    <d v="2023-03-21T17:00:00"/>
    <n v="80"/>
    <x v="1"/>
    <x v="1"/>
    <x v="1"/>
    <d v="1899-12-30T08:00:00"/>
    <x v="44"/>
    <s v=""/>
    <s v=""/>
    <s v=""/>
    <s v=""/>
    <s v=""/>
  </r>
  <r>
    <d v="2023-03-24T14:00:00"/>
    <d v="2023-03-24T15:00:00"/>
    <n v="10"/>
    <x v="0"/>
    <x v="0"/>
    <x v="7"/>
    <d v="1899-12-30T01:00:00"/>
    <x v="45"/>
    <s v=""/>
    <s v=""/>
    <s v=""/>
    <s v=""/>
    <s v=""/>
  </r>
  <r>
    <d v="2023-03-20T16:00:00"/>
    <d v="2023-03-20T17:00:00"/>
    <n v="10"/>
    <x v="0"/>
    <x v="0"/>
    <x v="21"/>
    <d v="1899-12-30T01:00:00"/>
    <x v="46"/>
    <s v=""/>
    <s v=""/>
    <s v=""/>
    <s v=""/>
    <s v=""/>
  </r>
  <r>
    <d v="2023-03-01T10:30:00"/>
    <d v="2023-03-01T11:30:00"/>
    <n v="10"/>
    <x v="0"/>
    <x v="0"/>
    <x v="22"/>
    <d v="1899-12-30T01:00:00"/>
    <x v="47"/>
    <s v=""/>
    <s v=""/>
    <s v=""/>
    <s v=""/>
    <s v=""/>
  </r>
  <r>
    <d v="2023-03-01T08:45:00"/>
    <d v="2023-03-01T09:15:00"/>
    <n v="5"/>
    <x v="4"/>
    <x v="4"/>
    <x v="1"/>
    <d v="1899-12-30T00:30:00"/>
    <x v="48"/>
    <s v=""/>
    <s v=""/>
    <s v=""/>
    <s v=""/>
    <s v=""/>
  </r>
  <r>
    <d v="2023-03-02T08:45:00"/>
    <d v="2023-03-02T09:15:00"/>
    <n v="5"/>
    <x v="4"/>
    <x v="4"/>
    <x v="1"/>
    <d v="1899-12-30T00:30:00"/>
    <x v="48"/>
    <s v=""/>
    <s v=""/>
    <s v=""/>
    <s v=""/>
    <s v=""/>
  </r>
  <r>
    <d v="2023-03-06T08:45:00"/>
    <d v="2023-03-06T09:15:00"/>
    <n v="5"/>
    <x v="4"/>
    <x v="4"/>
    <x v="1"/>
    <d v="1899-12-30T00:30:00"/>
    <x v="48"/>
    <s v=""/>
    <s v=""/>
    <s v=""/>
    <s v=""/>
    <s v=""/>
  </r>
  <r>
    <d v="2023-03-07T08:45:00"/>
    <d v="2023-03-07T09:15:00"/>
    <n v="5"/>
    <x v="4"/>
    <x v="4"/>
    <x v="1"/>
    <d v="1899-12-30T00:30:00"/>
    <x v="48"/>
    <s v=""/>
    <s v=""/>
    <s v=""/>
    <s v=""/>
    <s v=""/>
  </r>
  <r>
    <d v="2023-03-08T08:45:00"/>
    <d v="2023-03-08T09:15:00"/>
    <n v="5"/>
    <x v="4"/>
    <x v="4"/>
    <x v="1"/>
    <d v="1899-12-30T00:30:00"/>
    <x v="48"/>
    <s v=""/>
    <s v=""/>
    <s v=""/>
    <s v=""/>
    <s v=""/>
  </r>
  <r>
    <d v="2023-03-09T08:45:00"/>
    <d v="2023-03-09T09:15:00"/>
    <n v="5"/>
    <x v="4"/>
    <x v="4"/>
    <x v="1"/>
    <d v="1899-12-30T00:30:00"/>
    <x v="48"/>
    <s v=""/>
    <s v=""/>
    <s v=""/>
    <s v=""/>
    <s v=""/>
  </r>
  <r>
    <d v="2023-03-13T08:45:00"/>
    <d v="2023-03-13T09:15:00"/>
    <n v="5"/>
    <x v="4"/>
    <x v="4"/>
    <x v="1"/>
    <d v="1899-12-30T00:30:00"/>
    <x v="48"/>
    <s v=""/>
    <s v=""/>
    <s v=""/>
    <s v=""/>
    <s v=""/>
  </r>
  <r>
    <d v="2023-03-14T08:45:00"/>
    <d v="2023-03-14T09:15:00"/>
    <n v="5"/>
    <x v="4"/>
    <x v="4"/>
    <x v="1"/>
    <d v="1899-12-30T00:30:00"/>
    <x v="48"/>
    <s v=""/>
    <s v=""/>
    <s v=""/>
    <s v=""/>
    <s v=""/>
  </r>
  <r>
    <d v="2023-03-15T08:45:00"/>
    <d v="2023-03-15T09:15:00"/>
    <n v="5"/>
    <x v="4"/>
    <x v="4"/>
    <x v="1"/>
    <d v="1899-12-30T00:30:00"/>
    <x v="48"/>
    <s v=""/>
    <s v=""/>
    <s v=""/>
    <s v=""/>
    <s v=""/>
  </r>
  <r>
    <d v="2023-03-16T08:45:00"/>
    <d v="2023-03-16T09:15:00"/>
    <n v="5"/>
    <x v="4"/>
    <x v="4"/>
    <x v="1"/>
    <d v="1899-12-30T00:30:00"/>
    <x v="48"/>
    <s v=""/>
    <s v=""/>
    <s v=""/>
    <s v=""/>
    <s v=""/>
  </r>
  <r>
    <d v="2023-03-20T08:45:00"/>
    <d v="2023-03-20T09:15:00"/>
    <n v="5"/>
    <x v="4"/>
    <x v="4"/>
    <x v="1"/>
    <d v="1899-12-30T00:30:00"/>
    <x v="48"/>
    <s v=""/>
    <s v=""/>
    <s v=""/>
    <s v=""/>
    <s v=""/>
  </r>
  <r>
    <d v="2023-03-21T08:45:00"/>
    <d v="2023-03-21T09:15:00"/>
    <n v="5"/>
    <x v="4"/>
    <x v="4"/>
    <x v="1"/>
    <d v="1899-12-30T00:30:00"/>
    <x v="48"/>
    <s v=""/>
    <s v=""/>
    <s v=""/>
    <s v=""/>
    <s v=""/>
  </r>
  <r>
    <d v="2023-03-22T08:45:00"/>
    <d v="2023-03-22T09:15:00"/>
    <n v="5"/>
    <x v="4"/>
    <x v="4"/>
    <x v="1"/>
    <d v="1899-12-30T00:30:00"/>
    <x v="48"/>
    <s v=""/>
    <s v=""/>
    <s v=""/>
    <s v=""/>
    <s v=""/>
  </r>
  <r>
    <d v="2023-03-23T08:45:00"/>
    <d v="2023-03-23T09:15:00"/>
    <n v="5"/>
    <x v="4"/>
    <x v="4"/>
    <x v="1"/>
    <d v="1899-12-30T00:30:00"/>
    <x v="48"/>
    <s v=""/>
    <s v=""/>
    <s v=""/>
    <s v=""/>
    <s v=""/>
  </r>
  <r>
    <d v="2023-03-27T08:45:00"/>
    <d v="2023-03-27T09:15:00"/>
    <n v="5"/>
    <x v="4"/>
    <x v="4"/>
    <x v="1"/>
    <d v="1899-12-30T00:30:00"/>
    <x v="48"/>
    <s v=""/>
    <s v=""/>
    <s v=""/>
    <s v=""/>
    <s v=""/>
  </r>
  <r>
    <d v="2023-03-28T08:45:00"/>
    <d v="2023-03-28T09:15:00"/>
    <n v="5"/>
    <x v="4"/>
    <x v="4"/>
    <x v="1"/>
    <d v="1899-12-30T00:30:00"/>
    <x v="48"/>
    <s v=""/>
    <s v=""/>
    <s v=""/>
    <s v=""/>
    <s v=""/>
  </r>
  <r>
    <d v="2023-03-29T08:45:00"/>
    <d v="2023-03-29T09:15:00"/>
    <n v="5"/>
    <x v="4"/>
    <x v="4"/>
    <x v="1"/>
    <d v="1899-12-30T00:30:00"/>
    <x v="48"/>
    <s v=""/>
    <s v=""/>
    <s v=""/>
    <s v=""/>
    <s v=""/>
  </r>
  <r>
    <d v="2023-03-30T08:45:00"/>
    <d v="2023-03-30T09:15:00"/>
    <n v="5"/>
    <x v="4"/>
    <x v="4"/>
    <x v="1"/>
    <d v="1899-12-30T00:30:00"/>
    <x v="48"/>
    <s v=""/>
    <s v=""/>
    <s v=""/>
    <s v=""/>
    <s v=""/>
  </r>
  <r>
    <d v="2023-03-03T15:00:00"/>
    <d v="2023-03-03T16:00:00"/>
    <n v="10"/>
    <x v="2"/>
    <x v="2"/>
    <x v="1"/>
    <d v="1899-12-30T01:00:00"/>
    <x v="49"/>
    <s v=""/>
    <s v=""/>
    <s v=""/>
    <s v=""/>
    <s v=""/>
  </r>
  <r>
    <d v="2023-03-02T12:15:00"/>
    <d v="2023-03-02T13:15:00"/>
    <n v="10"/>
    <x v="2"/>
    <x v="2"/>
    <x v="1"/>
    <d v="1899-12-30T01:00:00"/>
    <x v="50"/>
    <s v=""/>
    <s v=""/>
    <s v=""/>
    <s v=""/>
    <s v=""/>
  </r>
  <r>
    <d v="2023-03-07T12:15:00"/>
    <d v="2023-03-07T13:15:00"/>
    <n v="10"/>
    <x v="2"/>
    <x v="2"/>
    <x v="1"/>
    <d v="1899-12-30T01:00:00"/>
    <x v="50"/>
    <s v=""/>
    <s v=""/>
    <s v=""/>
    <s v=""/>
    <s v=""/>
  </r>
  <r>
    <d v="2023-03-09T12:15:00"/>
    <d v="2023-03-09T13:15:00"/>
    <n v="10"/>
    <x v="2"/>
    <x v="2"/>
    <x v="1"/>
    <d v="1899-12-30T01:00:00"/>
    <x v="50"/>
    <s v=""/>
    <s v=""/>
    <s v=""/>
    <s v=""/>
    <s v=""/>
  </r>
  <r>
    <d v="2023-03-14T12:15:00"/>
    <d v="2023-03-14T13:15:00"/>
    <n v="10"/>
    <x v="2"/>
    <x v="2"/>
    <x v="1"/>
    <d v="1899-12-30T01:00:00"/>
    <x v="50"/>
    <s v=""/>
    <s v=""/>
    <s v=""/>
    <s v=""/>
    <s v=""/>
  </r>
  <r>
    <d v="2023-03-16T12:15:00"/>
    <d v="2023-03-16T13:15:00"/>
    <n v="10"/>
    <x v="2"/>
    <x v="2"/>
    <x v="1"/>
    <d v="1899-12-30T01:00:00"/>
    <x v="50"/>
    <s v=""/>
    <s v=""/>
    <s v=""/>
    <s v=""/>
    <s v=""/>
  </r>
  <r>
    <d v="2023-03-21T12:15:00"/>
    <d v="2023-03-21T13:15:00"/>
    <n v="10"/>
    <x v="2"/>
    <x v="2"/>
    <x v="1"/>
    <d v="1899-12-30T01:00:00"/>
    <x v="50"/>
    <s v=""/>
    <s v=""/>
    <s v=""/>
    <s v=""/>
    <s v=""/>
  </r>
  <r>
    <d v="2023-03-23T12:15:00"/>
    <d v="2023-03-23T13:15:00"/>
    <n v="10"/>
    <x v="2"/>
    <x v="2"/>
    <x v="1"/>
    <d v="1899-12-30T01:00:00"/>
    <x v="50"/>
    <s v=""/>
    <s v=""/>
    <s v=""/>
    <s v=""/>
    <s v=""/>
  </r>
  <r>
    <d v="2023-03-28T12:15:00"/>
    <d v="2023-03-28T13:15:00"/>
    <n v="10"/>
    <x v="2"/>
    <x v="2"/>
    <x v="1"/>
    <d v="1899-12-30T01:00:00"/>
    <x v="50"/>
    <s v=""/>
    <s v=""/>
    <s v=""/>
    <s v=""/>
    <s v=""/>
  </r>
  <r>
    <d v="2023-03-30T12:15:00"/>
    <d v="2023-03-30T13:15:00"/>
    <n v="10"/>
    <x v="2"/>
    <x v="2"/>
    <x v="1"/>
    <d v="1899-12-30T01:00:00"/>
    <x v="50"/>
    <s v=""/>
    <s v=""/>
    <s v=""/>
    <s v=""/>
    <s v=""/>
  </r>
  <r>
    <d v="2023-03-23T15:00:00"/>
    <d v="2023-03-23T16:00:00"/>
    <n v="10"/>
    <x v="0"/>
    <x v="0"/>
    <x v="4"/>
    <d v="1899-12-30T01:00:00"/>
    <x v="51"/>
    <s v=""/>
    <s v=""/>
    <s v=""/>
    <s v=""/>
    <s v=""/>
  </r>
  <r>
    <d v="2023-03-23T14:00:00"/>
    <d v="2023-03-23T15:00:00"/>
    <n v="10"/>
    <x v="4"/>
    <x v="4"/>
    <x v="1"/>
    <d v="1899-12-30T01:00:00"/>
    <x v="52"/>
    <s v=""/>
    <s v=""/>
    <s v=""/>
    <s v=""/>
    <s v=""/>
  </r>
  <r>
    <d v="2023-03-16T14:30:00"/>
    <d v="2023-03-16T15:00:00"/>
    <n v="5"/>
    <x v="0"/>
    <x v="0"/>
    <x v="23"/>
    <d v="1899-12-30T00:30:00"/>
    <x v="53"/>
    <s v=""/>
    <s v=""/>
    <s v=""/>
    <s v=""/>
    <s v=""/>
  </r>
  <r>
    <d v="2023-03-20T14:30:00"/>
    <d v="2023-03-20T15:00:00"/>
    <n v="5"/>
    <x v="0"/>
    <x v="0"/>
    <x v="23"/>
    <d v="1899-12-30T00:30:00"/>
    <x v="53"/>
    <s v=""/>
    <s v=""/>
    <s v=""/>
    <s v=""/>
    <s v=""/>
  </r>
  <r>
    <d v="2023-03-07T11:30:00"/>
    <d v="2023-03-07T12:00:00"/>
    <n v="5"/>
    <x v="6"/>
    <x v="6"/>
    <x v="1"/>
    <d v="1899-12-30T00:30:00"/>
    <x v="54"/>
    <s v=""/>
    <s v=""/>
    <s v=""/>
    <s v=""/>
    <s v=""/>
  </r>
  <r>
    <d v="2023-03-14T16:00:00"/>
    <d v="2023-03-14T16:30:00"/>
    <n v="5"/>
    <x v="6"/>
    <x v="6"/>
    <x v="1"/>
    <d v="1899-12-30T00:30:00"/>
    <x v="54"/>
    <s v=""/>
    <s v=""/>
    <s v=""/>
    <s v=""/>
    <s v=""/>
  </r>
  <r>
    <d v="2023-03-21T11:30:00"/>
    <d v="2023-03-21T12:00:00"/>
    <n v="5"/>
    <x v="6"/>
    <x v="6"/>
    <x v="1"/>
    <d v="1899-12-30T00:30:00"/>
    <x v="54"/>
    <s v=""/>
    <s v=""/>
    <s v=""/>
    <s v=""/>
    <s v=""/>
  </r>
  <r>
    <d v="2023-03-28T11:30:00"/>
    <d v="2023-03-28T12:00:00"/>
    <n v="5"/>
    <x v="6"/>
    <x v="6"/>
    <x v="1"/>
    <d v="1899-12-30T00:30:00"/>
    <x v="54"/>
    <s v=""/>
    <s v=""/>
    <s v=""/>
    <s v=""/>
    <s v=""/>
  </r>
  <r>
    <d v="2023-03-16T09:30:00"/>
    <d v="2023-03-16T10:00:00"/>
    <n v="5"/>
    <x v="2"/>
    <x v="2"/>
    <x v="1"/>
    <d v="1899-12-30T00:30:00"/>
    <x v="55"/>
    <s v=""/>
    <s v=""/>
    <s v=""/>
    <s v=""/>
    <s v=""/>
  </r>
  <r>
    <d v="2023-03-08T09:30:00"/>
    <d v="2023-03-08T10:15:00"/>
    <n v="75"/>
    <x v="6"/>
    <x v="6"/>
    <x v="1"/>
    <d v="1899-12-30T00:45:00"/>
    <x v="56"/>
    <s v=""/>
    <s v=""/>
    <s v=""/>
    <s v=""/>
    <s v=""/>
  </r>
  <r>
    <d v="2023-03-30T14:00:00"/>
    <d v="2023-03-30T16:00:00"/>
    <n v="20"/>
    <x v="0"/>
    <x v="0"/>
    <x v="17"/>
    <d v="1899-12-30T02:00:00"/>
    <x v="57"/>
    <s v=""/>
    <s v=""/>
    <s v=""/>
    <s v=""/>
    <s v=""/>
  </r>
  <r>
    <d v="2023-03-06T09:30:00"/>
    <d v="2023-03-06T11:30:00"/>
    <n v="20"/>
    <x v="0"/>
    <x v="0"/>
    <x v="11"/>
    <d v="1899-12-30T02:00:00"/>
    <x v="58"/>
    <s v=""/>
    <s v=""/>
    <s v=""/>
    <s v=""/>
    <s v=""/>
  </r>
  <r>
    <d v="2023-03-09T09:00:00"/>
    <d v="2023-03-09T10:00:00"/>
    <n v="10"/>
    <x v="0"/>
    <x v="0"/>
    <x v="5"/>
    <d v="1899-12-30T01:00:00"/>
    <x v="59"/>
    <s v=""/>
    <s v=""/>
    <s v=""/>
    <s v=""/>
    <s v=""/>
  </r>
  <r>
    <d v="2023-03-21T10:30:00"/>
    <d v="2023-03-21T13:30:00"/>
    <n v="30"/>
    <x v="2"/>
    <x v="2"/>
    <x v="1"/>
    <d v="1899-12-30T03:00:00"/>
    <x v="60"/>
    <s v=""/>
    <s v=""/>
    <s v=""/>
    <s v=""/>
    <s v=""/>
  </r>
  <r>
    <d v="2023-03-27T00:00:00"/>
    <d v="2023-03-28T00:00:00"/>
    <n v="240"/>
    <x v="2"/>
    <x v="2"/>
    <x v="1"/>
    <d v="1899-12-31T00:00:00"/>
    <x v="61"/>
    <s v=""/>
    <s v=""/>
    <s v=""/>
    <s v=""/>
    <s v=""/>
  </r>
  <r>
    <d v="2023-03-23T16:00:00"/>
    <d v="2023-03-23T17:00:00"/>
    <n v="10"/>
    <x v="2"/>
    <x v="2"/>
    <x v="1"/>
    <d v="1899-12-30T01:00:00"/>
    <x v="62"/>
    <s v=""/>
    <s v=""/>
    <s v=""/>
    <s v=""/>
    <s v=""/>
  </r>
  <r>
    <d v="2023-03-24T11:00:00"/>
    <d v="2023-03-24T11:30:00"/>
    <n v="5"/>
    <x v="7"/>
    <x v="7"/>
    <x v="1"/>
    <d v="1899-12-30T00:30:00"/>
    <x v="63"/>
    <s v=""/>
    <s v=""/>
    <s v=""/>
    <s v=""/>
    <s v=""/>
  </r>
  <r>
    <d v="2023-03-31T09:45:00"/>
    <d v="2023-03-31T10:15:00"/>
    <n v="5"/>
    <x v="0"/>
    <x v="0"/>
    <x v="17"/>
    <d v="1899-12-30T00:30:00"/>
    <x v="64"/>
    <s v=""/>
    <s v=""/>
    <s v=""/>
    <s v=""/>
    <s v=""/>
  </r>
  <r>
    <d v="2023-03-29T17:00:00"/>
    <d v="2023-03-29T17:45:00"/>
    <n v="75"/>
    <x v="0"/>
    <x v="0"/>
    <x v="17"/>
    <d v="1899-12-30T00:45:00"/>
    <x v="65"/>
    <s v=""/>
    <s v=""/>
    <s v=""/>
    <s v=""/>
    <s v=""/>
  </r>
  <r>
    <d v="2023-03-30T14:00:00"/>
    <d v="2023-03-30T15:00:00"/>
    <n v="10"/>
    <x v="0"/>
    <x v="0"/>
    <x v="17"/>
    <d v="1899-12-30T01:00:00"/>
    <x v="66"/>
    <s v=""/>
    <s v=""/>
    <s v=""/>
    <s v=""/>
    <s v=""/>
  </r>
  <r>
    <d v="2023-03-28T15:00:00"/>
    <d v="2023-03-28T16:00:00"/>
    <n v="10"/>
    <x v="3"/>
    <x v="3"/>
    <x v="1"/>
    <d v="1899-12-30T01:00:00"/>
    <x v="67"/>
    <s v=""/>
    <s v=""/>
    <s v=""/>
    <s v=""/>
    <s v=""/>
  </r>
  <r>
    <d v="2023-03-10T16:30:00"/>
    <d v="2023-03-10T17:00:00"/>
    <n v="5"/>
    <x v="3"/>
    <x v="3"/>
    <x v="1"/>
    <d v="1899-12-30T00:30:00"/>
    <x v="68"/>
    <s v=""/>
    <s v=""/>
    <s v=""/>
    <s v=""/>
    <s v=""/>
  </r>
  <r>
    <d v="2023-03-09T16:00:00"/>
    <d v="2023-03-09T17:00:00"/>
    <n v="10"/>
    <x v="3"/>
    <x v="3"/>
    <x v="1"/>
    <d v="1899-12-30T01:00:00"/>
    <x v="69"/>
    <s v=""/>
    <s v=""/>
    <s v=""/>
    <s v=""/>
    <s v=""/>
  </r>
  <r>
    <d v="2023-03-16T16:00:00"/>
    <d v="2023-03-16T17:00:00"/>
    <n v="10"/>
    <x v="3"/>
    <x v="3"/>
    <x v="1"/>
    <d v="1899-12-30T01:00:00"/>
    <x v="69"/>
    <s v=""/>
    <s v=""/>
    <s v=""/>
    <s v=""/>
    <s v=""/>
  </r>
  <r>
    <d v="2023-03-23T16:00:00"/>
    <d v="2023-03-23T17:00:00"/>
    <n v="10"/>
    <x v="3"/>
    <x v="3"/>
    <x v="1"/>
    <d v="1899-12-30T01:00:00"/>
    <x v="69"/>
    <s v=""/>
    <s v=""/>
    <s v=""/>
    <s v=""/>
    <s v=""/>
  </r>
  <r>
    <d v="2023-03-30T16:00:00"/>
    <d v="2023-03-30T17:00:00"/>
    <n v="10"/>
    <x v="3"/>
    <x v="3"/>
    <x v="1"/>
    <d v="1899-12-30T01:00:00"/>
    <x v="69"/>
    <s v=""/>
    <s v=""/>
    <s v=""/>
    <s v=""/>
    <s v=""/>
  </r>
  <r>
    <d v="2023-03-01T11:00:00"/>
    <d v="2023-03-01T11:30:00"/>
    <n v="5"/>
    <x v="5"/>
    <x v="5"/>
    <x v="1"/>
    <d v="1899-12-30T00:30:00"/>
    <x v="70"/>
    <s v=""/>
    <s v=""/>
    <s v=""/>
    <s v=""/>
    <s v=""/>
  </r>
  <r>
    <d v="2023-03-08T11:00:00"/>
    <d v="2023-03-08T11:30:00"/>
    <n v="5"/>
    <x v="5"/>
    <x v="5"/>
    <x v="1"/>
    <d v="1899-12-30T00:30:00"/>
    <x v="70"/>
    <s v=""/>
    <s v=""/>
    <s v=""/>
    <s v=""/>
    <s v=""/>
  </r>
  <r>
    <d v="2023-03-15T11:00:00"/>
    <d v="2023-03-15T11:30:00"/>
    <n v="5"/>
    <x v="5"/>
    <x v="5"/>
    <x v="1"/>
    <d v="1899-12-30T00:30:00"/>
    <x v="70"/>
    <s v=""/>
    <s v=""/>
    <s v=""/>
    <s v=""/>
    <s v=""/>
  </r>
  <r>
    <d v="2023-03-22T11:00:00"/>
    <d v="2023-03-22T11:30:00"/>
    <n v="5"/>
    <x v="5"/>
    <x v="5"/>
    <x v="1"/>
    <d v="1899-12-30T00:30:00"/>
    <x v="70"/>
    <s v=""/>
    <s v=""/>
    <s v=""/>
    <s v=""/>
    <s v=""/>
  </r>
  <r>
    <d v="2023-03-29T11:00:00"/>
    <d v="2023-03-29T11:30:00"/>
    <n v="5"/>
    <x v="5"/>
    <x v="5"/>
    <x v="1"/>
    <d v="1899-12-30T00:30:00"/>
    <x v="70"/>
    <s v=""/>
    <s v=""/>
    <s v=""/>
    <s v=""/>
    <s v=""/>
  </r>
  <r>
    <d v="2023-03-14T13:00:00"/>
    <d v="2023-03-14T14:00:00"/>
    <n v="10"/>
    <x v="2"/>
    <x v="2"/>
    <x v="1"/>
    <d v="1899-12-30T01:00:00"/>
    <x v="71"/>
    <s v=""/>
    <s v=""/>
    <s v=""/>
    <s v=""/>
    <s v=""/>
  </r>
  <r>
    <d v="2023-03-14T16:00:00"/>
    <d v="2023-03-14T17:00:00"/>
    <n v="10"/>
    <x v="2"/>
    <x v="2"/>
    <x v="1"/>
    <d v="1899-12-30T01:00:00"/>
    <x v="71"/>
    <s v=""/>
    <s v=""/>
    <s v=""/>
    <s v=""/>
    <s v=""/>
  </r>
  <r>
    <d v="2023-03-15T15:00:00"/>
    <d v="2023-03-15T17:00:00"/>
    <n v="20"/>
    <x v="2"/>
    <x v="2"/>
    <x v="1"/>
    <d v="1899-12-30T02:00:00"/>
    <x v="71"/>
    <s v=""/>
    <s v=""/>
    <s v=""/>
    <s v=""/>
    <s v=""/>
  </r>
  <r>
    <d v="2023-03-31T08:00:00"/>
    <d v="2023-03-31T19:00:00"/>
    <n v="110"/>
    <x v="2"/>
    <x v="2"/>
    <x v="1"/>
    <d v="1899-12-30T11:00:00"/>
    <x v="72"/>
    <s v=""/>
    <s v=""/>
    <s v=""/>
    <s v=""/>
    <s v=""/>
  </r>
  <r>
    <d v="2023-03-01T12:00:00"/>
    <d v="2023-03-01T13:30:00"/>
    <n v="15"/>
    <x v="2"/>
    <x v="2"/>
    <x v="1"/>
    <d v="1899-12-30T01:30:00"/>
    <x v="73"/>
    <s v=""/>
    <s v=""/>
    <s v=""/>
    <s v=""/>
    <s v=""/>
  </r>
  <r>
    <d v="2023-03-02T12:00:00"/>
    <d v="2023-03-02T13:30:00"/>
    <n v="15"/>
    <x v="2"/>
    <x v="2"/>
    <x v="1"/>
    <d v="1899-12-30T01:30:00"/>
    <x v="73"/>
    <s v=""/>
    <s v=""/>
    <s v=""/>
    <s v=""/>
    <s v=""/>
  </r>
  <r>
    <d v="2023-03-03T12:00:00"/>
    <d v="2023-03-03T13:30:00"/>
    <n v="15"/>
    <x v="2"/>
    <x v="2"/>
    <x v="1"/>
    <d v="1899-12-30T01:30:00"/>
    <x v="73"/>
    <s v=""/>
    <s v=""/>
    <s v=""/>
    <s v=""/>
    <s v=""/>
  </r>
  <r>
    <d v="2023-03-06T12:00:00"/>
    <d v="2023-03-06T13:30:00"/>
    <n v="15"/>
    <x v="2"/>
    <x v="2"/>
    <x v="1"/>
    <d v="1899-12-30T01:30:00"/>
    <x v="73"/>
    <s v=""/>
    <s v=""/>
    <s v=""/>
    <s v=""/>
    <s v=""/>
  </r>
  <r>
    <d v="2023-03-07T12:00:00"/>
    <d v="2023-03-07T13:30:00"/>
    <n v="15"/>
    <x v="2"/>
    <x v="2"/>
    <x v="1"/>
    <d v="1899-12-30T01:30:00"/>
    <x v="73"/>
    <s v=""/>
    <s v=""/>
    <s v=""/>
    <s v=""/>
    <s v=""/>
  </r>
  <r>
    <d v="2023-03-08T12:00:00"/>
    <d v="2023-03-08T13:30:00"/>
    <n v="15"/>
    <x v="2"/>
    <x v="2"/>
    <x v="1"/>
    <d v="1899-12-30T01:30:00"/>
    <x v="73"/>
    <s v=""/>
    <s v=""/>
    <s v=""/>
    <s v=""/>
    <s v=""/>
  </r>
  <r>
    <d v="2023-03-09T12:00:00"/>
    <d v="2023-03-09T13:30:00"/>
    <n v="15"/>
    <x v="2"/>
    <x v="2"/>
    <x v="1"/>
    <d v="1899-12-30T01:30:00"/>
    <x v="73"/>
    <s v=""/>
    <s v=""/>
    <s v=""/>
    <s v=""/>
    <s v=""/>
  </r>
  <r>
    <d v="2023-03-10T12:00:00"/>
    <d v="2023-03-10T13:30:00"/>
    <n v="15"/>
    <x v="2"/>
    <x v="2"/>
    <x v="1"/>
    <d v="1899-12-30T01:30:00"/>
    <x v="73"/>
    <s v=""/>
    <s v=""/>
    <s v=""/>
    <s v=""/>
    <s v=""/>
  </r>
  <r>
    <d v="2023-03-13T12:00:00"/>
    <d v="2023-03-13T13:30:00"/>
    <n v="15"/>
    <x v="2"/>
    <x v="2"/>
    <x v="1"/>
    <d v="1899-12-30T01:30:00"/>
    <x v="73"/>
    <s v=""/>
    <s v=""/>
    <s v=""/>
    <s v=""/>
    <s v=""/>
  </r>
  <r>
    <d v="2023-03-14T12:00:00"/>
    <d v="2023-03-14T13:30:00"/>
    <n v="15"/>
    <x v="2"/>
    <x v="2"/>
    <x v="1"/>
    <d v="1899-12-30T01:30:00"/>
    <x v="73"/>
    <s v=""/>
    <s v=""/>
    <s v=""/>
    <s v=""/>
    <s v=""/>
  </r>
  <r>
    <d v="2023-03-15T12:00:00"/>
    <d v="2023-03-15T13:30:00"/>
    <n v="15"/>
    <x v="2"/>
    <x v="2"/>
    <x v="1"/>
    <d v="1899-12-30T01:30:00"/>
    <x v="73"/>
    <s v=""/>
    <s v=""/>
    <s v=""/>
    <s v=""/>
    <s v=""/>
  </r>
  <r>
    <d v="2023-03-16T12:00:00"/>
    <d v="2023-03-16T13:30:00"/>
    <n v="15"/>
    <x v="2"/>
    <x v="2"/>
    <x v="1"/>
    <d v="1899-12-30T01:30:00"/>
    <x v="73"/>
    <s v=""/>
    <s v=""/>
    <s v=""/>
    <s v=""/>
    <s v=""/>
  </r>
  <r>
    <d v="2023-03-17T12:00:00"/>
    <d v="2023-03-17T13:30:00"/>
    <n v="15"/>
    <x v="2"/>
    <x v="2"/>
    <x v="1"/>
    <d v="1899-12-30T01:30:00"/>
    <x v="73"/>
    <s v=""/>
    <s v=""/>
    <s v=""/>
    <s v=""/>
    <s v=""/>
  </r>
  <r>
    <d v="2023-03-20T12:00:00"/>
    <d v="2023-03-20T13:30:00"/>
    <n v="15"/>
    <x v="2"/>
    <x v="2"/>
    <x v="1"/>
    <d v="1899-12-30T01:30:00"/>
    <x v="73"/>
    <s v=""/>
    <s v=""/>
    <s v=""/>
    <s v=""/>
    <s v=""/>
  </r>
  <r>
    <d v="2023-03-21T12:00:00"/>
    <d v="2023-03-21T13:30:00"/>
    <n v="15"/>
    <x v="2"/>
    <x v="2"/>
    <x v="1"/>
    <d v="1899-12-30T01:30:00"/>
    <x v="73"/>
    <s v=""/>
    <s v=""/>
    <s v=""/>
    <s v=""/>
    <s v=""/>
  </r>
  <r>
    <d v="2023-03-22T12:00:00"/>
    <d v="2023-03-22T13:30:00"/>
    <n v="15"/>
    <x v="2"/>
    <x v="2"/>
    <x v="1"/>
    <d v="1899-12-30T01:30:00"/>
    <x v="73"/>
    <s v=""/>
    <s v=""/>
    <s v=""/>
    <s v=""/>
    <s v=""/>
  </r>
  <r>
    <d v="2023-03-23T12:00:00"/>
    <d v="2023-03-23T13:30:00"/>
    <n v="15"/>
    <x v="2"/>
    <x v="2"/>
    <x v="1"/>
    <d v="1899-12-30T01:30:00"/>
    <x v="73"/>
    <s v=""/>
    <s v=""/>
    <s v=""/>
    <s v=""/>
    <s v=""/>
  </r>
  <r>
    <d v="2023-03-24T12:00:00"/>
    <d v="2023-03-24T13:30:00"/>
    <n v="15"/>
    <x v="2"/>
    <x v="2"/>
    <x v="1"/>
    <d v="1899-12-30T01:30:00"/>
    <x v="73"/>
    <s v=""/>
    <s v=""/>
    <s v=""/>
    <s v=""/>
    <s v=""/>
  </r>
  <r>
    <d v="2023-03-27T12:00:00"/>
    <d v="2023-03-27T13:30:00"/>
    <n v="15"/>
    <x v="2"/>
    <x v="2"/>
    <x v="1"/>
    <d v="1899-12-30T01:30:00"/>
    <x v="73"/>
    <s v=""/>
    <s v=""/>
    <s v=""/>
    <s v=""/>
    <s v=""/>
  </r>
  <r>
    <d v="2023-03-28T12:00:00"/>
    <d v="2023-03-28T13:30:00"/>
    <n v="15"/>
    <x v="2"/>
    <x v="2"/>
    <x v="1"/>
    <d v="1899-12-30T01:30:00"/>
    <x v="73"/>
    <s v=""/>
    <s v=""/>
    <s v=""/>
    <s v=""/>
    <s v=""/>
  </r>
  <r>
    <d v="2023-03-29T12:00:00"/>
    <d v="2023-03-29T13:30:00"/>
    <n v="15"/>
    <x v="2"/>
    <x v="2"/>
    <x v="1"/>
    <d v="1899-12-30T01:30:00"/>
    <x v="73"/>
    <s v=""/>
    <s v=""/>
    <s v=""/>
    <s v=""/>
    <s v=""/>
  </r>
  <r>
    <d v="2023-03-30T12:00:00"/>
    <d v="2023-03-30T13:30:00"/>
    <n v="15"/>
    <x v="2"/>
    <x v="2"/>
    <x v="1"/>
    <d v="1899-12-30T01:30:00"/>
    <x v="73"/>
    <s v=""/>
    <s v=""/>
    <s v=""/>
    <s v=""/>
    <s v=""/>
  </r>
  <r>
    <d v="2023-03-31T12:00:00"/>
    <d v="2023-03-31T13:30:00"/>
    <n v="15"/>
    <x v="2"/>
    <x v="2"/>
    <x v="1"/>
    <d v="1899-12-30T01:30:00"/>
    <x v="73"/>
    <s v=""/>
    <s v=""/>
    <s v=""/>
    <s v=""/>
    <s v=""/>
  </r>
  <r>
    <d v="2023-03-31T10:00:00"/>
    <d v="2023-03-31T10:30:00"/>
    <n v="5"/>
    <x v="0"/>
    <x v="0"/>
    <x v="12"/>
    <d v="1899-12-30T00:30:00"/>
    <x v="74"/>
    <s v=""/>
    <s v=""/>
    <s v=""/>
    <s v=""/>
    <s v=""/>
  </r>
  <r>
    <d v="2023-03-16T11:00:00"/>
    <d v="2023-03-16T12:00:00"/>
    <n v="10"/>
    <x v="2"/>
    <x v="2"/>
    <x v="1"/>
    <d v="1899-12-30T01:00:00"/>
    <x v="75"/>
    <s v=""/>
    <s v=""/>
    <s v=""/>
    <s v=""/>
    <s v=""/>
  </r>
  <r>
    <d v="2023-03-28T14:00:00"/>
    <d v="2023-03-28T15:00:00"/>
    <n v="10"/>
    <x v="0"/>
    <x v="0"/>
    <x v="24"/>
    <d v="1899-12-30T01:00:00"/>
    <x v="76"/>
    <s v=""/>
    <s v=""/>
    <s v=""/>
    <s v=""/>
    <s v=""/>
  </r>
  <r>
    <d v="2023-03-07T10:30:00"/>
    <d v="2023-03-07T11:00:00"/>
    <n v="5"/>
    <x v="3"/>
    <x v="3"/>
    <x v="1"/>
    <d v="1899-12-30T00:30:00"/>
    <x v="77"/>
    <s v=""/>
    <s v=""/>
    <s v=""/>
    <s v=""/>
    <s v=""/>
  </r>
  <r>
    <d v="2023-03-14T11:05:00"/>
    <d v="2023-03-14T12:00:00"/>
    <n v="9166666666666666"/>
    <x v="3"/>
    <x v="3"/>
    <x v="1"/>
    <d v="1899-12-30T00:55:00"/>
    <x v="78"/>
    <s v=""/>
    <s v=""/>
    <s v=""/>
    <s v=""/>
    <s v=""/>
  </r>
  <r>
    <d v="2023-03-07T14:30:00"/>
    <d v="2023-03-07T15:30:00"/>
    <n v="10"/>
    <x v="4"/>
    <x v="4"/>
    <x v="1"/>
    <d v="1899-12-30T01:00:00"/>
    <x v="79"/>
    <s v=""/>
    <s v=""/>
    <s v=""/>
    <s v=""/>
    <s v=""/>
  </r>
  <r>
    <d v="2023-03-21T14:30:00"/>
    <d v="2023-03-21T15:30:00"/>
    <n v="10"/>
    <x v="4"/>
    <x v="4"/>
    <x v="1"/>
    <d v="1899-12-30T01:00:00"/>
    <x v="79"/>
    <s v=""/>
    <s v=""/>
    <s v=""/>
    <s v=""/>
    <s v=""/>
  </r>
  <r>
    <d v="2023-03-23T10:30:00"/>
    <d v="2023-03-23T11:00:00"/>
    <n v="5"/>
    <x v="7"/>
    <x v="7"/>
    <x v="1"/>
    <d v="1899-12-30T00:30:00"/>
    <x v="80"/>
    <s v=""/>
    <s v=""/>
    <s v=""/>
    <s v=""/>
    <s v=""/>
  </r>
  <r>
    <d v="2023-03-17T16:00:00"/>
    <d v="2023-03-17T17:00:00"/>
    <n v="10"/>
    <x v="0"/>
    <x v="0"/>
    <x v="7"/>
    <d v="1899-12-30T01:00:00"/>
    <x v="81"/>
    <s v=""/>
    <s v=""/>
    <s v=""/>
    <s v=""/>
    <s v=""/>
  </r>
  <r>
    <d v="2023-03-22T17:00:00"/>
    <d v="2023-03-22T18:00:00"/>
    <n v="10"/>
    <x v="0"/>
    <x v="0"/>
    <x v="7"/>
    <d v="1899-12-30T01:00:00"/>
    <x v="81"/>
    <s v=""/>
    <s v=""/>
    <s v=""/>
    <s v=""/>
    <s v=""/>
  </r>
  <r>
    <d v="2023-03-01T09:00:00"/>
    <d v="2023-03-01T12:30:00"/>
    <n v="35"/>
    <x v="2"/>
    <x v="2"/>
    <x v="1"/>
    <d v="1899-12-30T03:30:00"/>
    <x v="82"/>
    <s v=""/>
    <s v=""/>
    <s v=""/>
    <s v=""/>
    <s v=""/>
  </r>
  <r>
    <d v="2023-03-07T10:00:00"/>
    <d v="2023-03-07T11:00:00"/>
    <n v="10"/>
    <x v="2"/>
    <x v="2"/>
    <x v="1"/>
    <d v="1899-12-30T01:00:00"/>
    <x v="83"/>
    <s v=""/>
    <s v=""/>
    <s v=""/>
    <s v=""/>
    <s v=""/>
  </r>
  <r>
    <d v="2023-03-02T09:30:00"/>
    <d v="2023-03-02T11:00:00"/>
    <n v="15"/>
    <x v="0"/>
    <x v="0"/>
    <x v="11"/>
    <d v="1899-12-30T01:30:00"/>
    <x v="84"/>
    <s v=""/>
    <s v=""/>
    <s v=""/>
    <s v=""/>
    <s v=""/>
  </r>
  <r>
    <d v="2023-03-02T10:00:00"/>
    <d v="2023-03-02T10:30:00"/>
    <n v="5"/>
    <x v="0"/>
    <x v="0"/>
    <x v="11"/>
    <d v="1899-12-30T00:30:00"/>
    <x v="84"/>
    <s v=""/>
    <s v=""/>
    <s v=""/>
    <s v=""/>
    <s v=""/>
  </r>
  <r>
    <d v="2023-03-06T10:00:00"/>
    <d v="2023-03-06T11:00:00"/>
    <n v="10"/>
    <x v="0"/>
    <x v="0"/>
    <x v="11"/>
    <d v="1899-12-30T01:00:00"/>
    <x v="85"/>
    <s v=""/>
    <s v=""/>
    <s v=""/>
    <s v=""/>
    <s v=""/>
  </r>
  <r>
    <d v="2023-03-14T14:00:00"/>
    <d v="2023-03-14T15:00:00"/>
    <n v="10"/>
    <x v="0"/>
    <x v="0"/>
    <x v="11"/>
    <d v="1899-12-30T01:00:00"/>
    <x v="86"/>
    <s v=""/>
    <s v=""/>
    <s v=""/>
    <s v=""/>
    <s v=""/>
  </r>
  <r>
    <d v="2023-03-28T13:00:00"/>
    <d v="2023-03-28T14:00:00"/>
    <n v="10"/>
    <x v="0"/>
    <x v="0"/>
    <x v="17"/>
    <d v="1899-12-30T01:00:00"/>
    <x v="87"/>
    <s v=""/>
    <s v=""/>
    <s v=""/>
    <s v=""/>
    <s v=""/>
  </r>
  <r>
    <d v="2023-03-14T15:00:00"/>
    <d v="2023-03-14T16:00:00"/>
    <n v="10"/>
    <x v="0"/>
    <x v="0"/>
    <x v="11"/>
    <d v="1899-12-30T01:00:00"/>
    <x v="88"/>
    <s v=""/>
    <s v=""/>
    <s v=""/>
    <s v=""/>
    <s v=""/>
  </r>
  <r>
    <d v="2023-03-14T10:00:00"/>
    <d v="2023-03-14T11:30:00"/>
    <n v="15"/>
    <x v="0"/>
    <x v="0"/>
    <x v="15"/>
    <d v="1899-12-30T01:30:00"/>
    <x v="89"/>
    <s v=""/>
    <s v=""/>
    <s v=""/>
    <s v=""/>
    <s v=""/>
  </r>
  <r>
    <d v="2023-03-03T11:00:00"/>
    <d v="2023-03-03T12:00:00"/>
    <n v="10"/>
    <x v="0"/>
    <x v="0"/>
    <x v="12"/>
    <d v="1899-12-30T01:00:00"/>
    <x v="90"/>
    <s v=""/>
    <s v=""/>
    <s v=""/>
    <s v=""/>
    <s v=""/>
  </r>
  <r>
    <d v="2023-03-29T17:00:00"/>
    <d v="2023-03-29T17:45:00"/>
    <n v="75"/>
    <x v="0"/>
    <x v="0"/>
    <x v="17"/>
    <d v="1899-12-30T00:45:00"/>
    <x v="91"/>
    <s v=""/>
    <s v=""/>
    <s v=""/>
    <s v=""/>
    <s v=""/>
  </r>
  <r>
    <d v="2023-03-31T12:00:00"/>
    <d v="2023-03-31T12:30:00"/>
    <n v="5"/>
    <x v="0"/>
    <x v="0"/>
    <x v="17"/>
    <d v="1899-12-30T00:30:00"/>
    <x v="92"/>
    <s v=""/>
    <s v=""/>
    <s v=""/>
    <s v=""/>
    <s v=""/>
  </r>
  <r>
    <d v="2023-03-10T15:30:00"/>
    <d v="2023-03-10T16:15:00"/>
    <n v="75"/>
    <x v="0"/>
    <x v="0"/>
    <x v="25"/>
    <d v="1899-12-30T00:45:00"/>
    <x v="93"/>
    <s v=""/>
    <s v=""/>
    <s v=""/>
    <s v=""/>
    <s v=""/>
  </r>
  <r>
    <d v="2023-03-09T14:00:00"/>
    <d v="2023-03-09T15:00:00"/>
    <n v="10"/>
    <x v="0"/>
    <x v="0"/>
    <x v="15"/>
    <d v="1899-12-30T01:00:00"/>
    <x v="94"/>
    <s v=""/>
    <s v=""/>
    <s v=""/>
    <s v=""/>
    <s v=""/>
  </r>
  <r>
    <d v="2023-03-15T09:00:00"/>
    <d v="2023-03-15T10:00:00"/>
    <n v="10"/>
    <x v="0"/>
    <x v="0"/>
    <x v="26"/>
    <d v="1899-12-30T01:00:00"/>
    <x v="95"/>
    <s v=""/>
    <s v=""/>
    <s v=""/>
    <s v=""/>
    <s v=""/>
  </r>
  <r>
    <d v="2023-03-03T16:00:00"/>
    <d v="2023-03-03T18:30:00"/>
    <n v="25"/>
    <x v="4"/>
    <x v="4"/>
    <x v="1"/>
    <d v="1899-12-30T02:30:00"/>
    <x v="96"/>
    <s v=""/>
    <s v=""/>
    <s v=""/>
    <s v=""/>
    <s v=""/>
  </r>
  <r>
    <d v="2023-03-24T13:30:00"/>
    <d v="2023-03-24T15:00:00"/>
    <n v="15"/>
    <x v="4"/>
    <x v="4"/>
    <x v="1"/>
    <d v="1899-12-30T01:30:00"/>
    <x v="97"/>
    <s v=""/>
    <s v=""/>
    <s v=""/>
    <s v=""/>
    <s v=""/>
  </r>
  <r>
    <d v="2023-03-31T13:30:00"/>
    <d v="2023-03-31T15:00:00"/>
    <n v="15"/>
    <x v="4"/>
    <x v="4"/>
    <x v="1"/>
    <d v="1899-12-30T01:30:00"/>
    <x v="97"/>
    <s v=""/>
    <s v=""/>
    <s v=""/>
    <s v=""/>
    <s v=""/>
  </r>
  <r>
    <d v="2023-03-10T13:30:00"/>
    <d v="2023-03-10T15:00:00"/>
    <n v="15"/>
    <x v="4"/>
    <x v="4"/>
    <x v="1"/>
    <d v="1899-12-30T01:30:00"/>
    <x v="98"/>
    <s v=""/>
    <s v=""/>
    <s v=""/>
    <s v=""/>
    <s v=""/>
  </r>
  <r>
    <d v="2023-03-17T13:30:00"/>
    <d v="2023-03-17T15:00:00"/>
    <n v="15"/>
    <x v="4"/>
    <x v="4"/>
    <x v="1"/>
    <d v="1899-12-30T01:30:00"/>
    <x v="99"/>
    <s v=""/>
    <s v=""/>
    <s v=""/>
    <s v=""/>
    <s v=""/>
  </r>
  <r>
    <d v="2023-03-13T10:30:00"/>
    <d v="2023-03-13T11:00:00"/>
    <n v="5"/>
    <x v="0"/>
    <x v="0"/>
    <x v="15"/>
    <d v="1899-12-30T00:30:00"/>
    <x v="100"/>
    <s v=""/>
    <s v=""/>
    <s v=""/>
    <s v=""/>
    <s v=""/>
  </r>
  <r>
    <d v="2023-03-03T13:30:00"/>
    <d v="2023-03-03T15:00:00"/>
    <n v="15"/>
    <x v="4"/>
    <x v="4"/>
    <x v="1"/>
    <d v="1899-12-30T01:30:00"/>
    <x v="101"/>
    <s v=""/>
    <s v=""/>
    <s v=""/>
    <s v=""/>
    <s v=""/>
  </r>
  <r>
    <d v="2023-03-06T16:00:00"/>
    <d v="2023-03-06T16:30:00"/>
    <n v="5"/>
    <x v="0"/>
    <x v="0"/>
    <x v="12"/>
    <d v="1899-12-30T00:30:00"/>
    <x v="102"/>
    <s v=""/>
    <s v=""/>
    <s v=""/>
    <s v=""/>
    <s v=""/>
  </r>
  <r>
    <d v="2023-03-02T15:00:00"/>
    <d v="2023-03-02T15:45:00"/>
    <n v="75"/>
    <x v="0"/>
    <x v="0"/>
    <x v="12"/>
    <d v="1899-12-30T00:45:00"/>
    <x v="103"/>
    <s v=""/>
    <s v=""/>
    <s v=""/>
    <s v=""/>
    <s v=""/>
  </r>
  <r>
    <d v="2023-03-30T15:00:00"/>
    <d v="2023-03-30T18:00:00"/>
    <n v="30"/>
    <x v="4"/>
    <x v="4"/>
    <x v="1"/>
    <d v="1899-12-30T03:00:00"/>
    <x v="104"/>
    <s v=""/>
    <s v=""/>
    <s v=""/>
    <s v=""/>
    <s v=""/>
  </r>
  <r>
    <d v="2023-03-30T08:30:00"/>
    <d v="2023-03-30T08:45:00"/>
    <n v="25"/>
    <x v="2"/>
    <x v="2"/>
    <x v="1"/>
    <d v="1899-12-30T00:15:00"/>
    <x v="105"/>
    <s v=""/>
    <s v=""/>
    <s v=""/>
    <s v=""/>
    <s v=""/>
  </r>
  <r>
    <d v="2023-03-16T15:30:00"/>
    <d v="2023-03-16T16:00:00"/>
    <n v="5"/>
    <x v="2"/>
    <x v="2"/>
    <x v="1"/>
    <d v="1899-12-30T00:30:00"/>
    <x v="106"/>
    <s v=""/>
    <s v=""/>
    <s v=""/>
    <s v=""/>
    <s v=""/>
  </r>
  <r>
    <d v="2023-03-17T14:00:00"/>
    <d v="2023-03-17T15:00:00"/>
    <n v="10"/>
    <x v="0"/>
    <x v="0"/>
    <x v="25"/>
    <d v="1899-12-30T01:00:00"/>
    <x v="107"/>
    <s v=""/>
    <s v=""/>
    <s v=""/>
    <s v=""/>
    <s v=""/>
  </r>
  <r>
    <d v="2023-03-27T14:30:00"/>
    <d v="2023-03-27T15:30:00"/>
    <n v="10"/>
    <x v="0"/>
    <x v="0"/>
    <x v="25"/>
    <d v="1899-12-30T01:00:00"/>
    <x v="108"/>
    <s v=""/>
    <s v=""/>
    <s v=""/>
    <s v=""/>
    <s v=""/>
  </r>
  <r>
    <d v="2023-03-22T10:30:00"/>
    <d v="2023-03-22T12:00:00"/>
    <n v="15"/>
    <x v="2"/>
    <x v="2"/>
    <x v="1"/>
    <d v="1899-12-30T01:30:00"/>
    <x v="109"/>
    <s v=""/>
    <s v=""/>
    <s v=""/>
    <s v=""/>
    <s v=""/>
  </r>
  <r>
    <d v="2023-03-06T15:00:00"/>
    <d v="2023-03-06T16:00:00"/>
    <n v="10"/>
    <x v="6"/>
    <x v="6"/>
    <x v="1"/>
    <d v="1899-12-30T01:00:00"/>
    <x v="110"/>
    <s v=""/>
    <s v=""/>
    <s v=""/>
    <s v=""/>
    <s v=""/>
  </r>
  <r>
    <d v="2023-03-13T15:00:00"/>
    <d v="2023-03-13T16:00:00"/>
    <n v="10"/>
    <x v="6"/>
    <x v="6"/>
    <x v="1"/>
    <d v="1899-12-30T01:00:00"/>
    <x v="110"/>
    <s v=""/>
    <s v=""/>
    <s v=""/>
    <s v=""/>
    <s v=""/>
  </r>
  <r>
    <d v="2023-03-20T15:00:00"/>
    <d v="2023-03-20T16:00:00"/>
    <n v="10"/>
    <x v="6"/>
    <x v="6"/>
    <x v="1"/>
    <d v="1899-12-30T01:00:00"/>
    <x v="110"/>
    <s v=""/>
    <s v=""/>
    <s v=""/>
    <s v=""/>
    <s v=""/>
  </r>
  <r>
    <d v="2023-03-24T14:00:00"/>
    <d v="2023-03-24T14:45:00"/>
    <n v="75"/>
    <x v="2"/>
    <x v="2"/>
    <x v="1"/>
    <d v="1899-12-30T00:45:00"/>
    <x v="111"/>
    <s v=""/>
    <s v=""/>
    <s v=""/>
    <s v=""/>
    <s v=""/>
  </r>
  <r>
    <d v="2023-03-03T11:00:00"/>
    <d v="2023-03-03T12:00:00"/>
    <n v="10"/>
    <x v="4"/>
    <x v="4"/>
    <x v="1"/>
    <d v="1899-12-30T01:00:00"/>
    <x v="112"/>
    <s v=""/>
    <s v=""/>
    <s v=""/>
    <s v=""/>
    <s v=""/>
  </r>
  <r>
    <d v="2023-03-10T11:00:00"/>
    <d v="2023-03-10T12:00:00"/>
    <n v="10"/>
    <x v="4"/>
    <x v="4"/>
    <x v="1"/>
    <d v="1899-12-30T01:00:00"/>
    <x v="113"/>
    <s v=""/>
    <s v=""/>
    <s v=""/>
    <s v=""/>
    <s v=""/>
  </r>
  <r>
    <d v="2023-03-17T11:00:00"/>
    <d v="2023-03-17T12:00:00"/>
    <n v="10"/>
    <x v="4"/>
    <x v="4"/>
    <x v="1"/>
    <d v="1899-12-30T01:00:00"/>
    <x v="114"/>
    <s v=""/>
    <s v=""/>
    <s v=""/>
    <s v=""/>
    <s v=""/>
  </r>
  <r>
    <d v="2023-03-31T11:00:00"/>
    <d v="2023-03-31T12:00:00"/>
    <n v="10"/>
    <x v="4"/>
    <x v="4"/>
    <x v="1"/>
    <d v="1899-12-30T01:00:00"/>
    <x v="115"/>
    <s v=""/>
    <s v=""/>
    <s v=""/>
    <s v=""/>
    <s v=""/>
  </r>
  <r>
    <d v="2023-03-02T14:00:00"/>
    <d v="2023-03-02T15:00:00"/>
    <n v="10"/>
    <x v="2"/>
    <x v="2"/>
    <x v="1"/>
    <d v="1899-12-30T01:00:00"/>
    <x v="116"/>
    <s v=""/>
    <s v=""/>
    <s v=""/>
    <s v=""/>
    <s v=""/>
  </r>
  <r>
    <d v="2023-03-06T15:00:00"/>
    <d v="2023-03-06T16:00:00"/>
    <n v="10"/>
    <x v="2"/>
    <x v="2"/>
    <x v="1"/>
    <d v="1899-12-30T01:00:00"/>
    <x v="117"/>
    <s v=""/>
    <s v=""/>
    <s v=""/>
    <s v=""/>
    <s v=""/>
  </r>
  <r>
    <d v="2023-03-07T15:00:00"/>
    <d v="2023-03-07T16:00:00"/>
    <n v="10"/>
    <x v="2"/>
    <x v="2"/>
    <x v="1"/>
    <d v="1899-12-30T01:00:00"/>
    <x v="118"/>
    <s v=""/>
    <s v=""/>
    <s v=""/>
    <s v=""/>
    <s v=""/>
  </r>
  <r>
    <d v="2023-03-08T15:00:00"/>
    <d v="2023-03-08T16:00:00"/>
    <n v="10"/>
    <x v="2"/>
    <x v="2"/>
    <x v="1"/>
    <d v="1899-12-30T01:00:00"/>
    <x v="119"/>
    <s v=""/>
    <s v=""/>
    <s v=""/>
    <s v=""/>
    <s v=""/>
  </r>
  <r>
    <d v="2023-03-09T15:00:00"/>
    <d v="2023-03-09T16:00:00"/>
    <n v="10"/>
    <x v="2"/>
    <x v="2"/>
    <x v="1"/>
    <d v="1899-12-30T01:00:00"/>
    <x v="120"/>
    <s v=""/>
    <s v=""/>
    <s v=""/>
    <s v=""/>
    <s v=""/>
  </r>
  <r>
    <d v="2023-03-10T15:00:00"/>
    <d v="2023-03-10T16:00:00"/>
    <n v="10"/>
    <x v="2"/>
    <x v="2"/>
    <x v="1"/>
    <d v="1899-12-30T01:00:00"/>
    <x v="121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5765C7-A072-436A-B3F0-3B1ED142FEAE}" name="Tabela dinâmica1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90" firstHeaderRow="1" firstDataRow="1" firstDataCol="1" rowPageCount="1" colPageCount="1"/>
  <pivotFields count="13">
    <pivotField numFmtId="22" showAll="0"/>
    <pivotField numFmtId="22" showAll="0"/>
    <pivotField showAll="0"/>
    <pivotField showAll="0"/>
    <pivotField axis="axisPage" multipleItemSelectionAllowed="1" showAll="0">
      <items count="9">
        <item h="1" x="6"/>
        <item x="0"/>
        <item h="1" x="3"/>
        <item h="1" x="2"/>
        <item h="1" x="5"/>
        <item h="1" x="1"/>
        <item h="1" x="7"/>
        <item h="1" x="4"/>
        <item t="default"/>
      </items>
    </pivotField>
    <pivotField axis="axisRow" showAll="0">
      <items count="28">
        <item x="1"/>
        <item x="10"/>
        <item x="26"/>
        <item x="14"/>
        <item x="3"/>
        <item x="24"/>
        <item x="19"/>
        <item x="7"/>
        <item x="0"/>
        <item x="20"/>
        <item x="4"/>
        <item x="23"/>
        <item x="5"/>
        <item x="22"/>
        <item x="21"/>
        <item x="17"/>
        <item x="18"/>
        <item x="6"/>
        <item x="8"/>
        <item x="2"/>
        <item x="9"/>
        <item x="16"/>
        <item x="15"/>
        <item x="12"/>
        <item x="11"/>
        <item x="13"/>
        <item x="25"/>
        <item t="default"/>
      </items>
    </pivotField>
    <pivotField dataField="1" numFmtId="165" showAll="0"/>
    <pivotField axis="axisRow" showAll="0">
      <items count="123">
        <item x="64"/>
        <item x="34"/>
        <item x="57"/>
        <item x="107"/>
        <item x="108"/>
        <item x="93"/>
        <item x="1"/>
        <item x="3"/>
        <item x="5"/>
        <item x="8"/>
        <item x="11"/>
        <item x="13"/>
        <item x="15"/>
        <item x="16"/>
        <item x="19"/>
        <item x="20"/>
        <item x="26"/>
        <item x="27"/>
        <item x="31"/>
        <item x="32"/>
        <item x="33"/>
        <item x="41"/>
        <item x="17"/>
        <item x="95"/>
        <item x="25"/>
        <item x="28"/>
        <item x="37"/>
        <item x="39"/>
        <item x="4"/>
        <item x="43"/>
        <item x="44"/>
        <item x="76"/>
        <item x="36"/>
        <item x="10"/>
        <item x="81"/>
        <item x="45"/>
        <item x="0"/>
        <item x="48"/>
        <item x="42"/>
        <item x="49"/>
        <item x="50"/>
        <item x="6"/>
        <item x="51"/>
        <item x="52"/>
        <item x="53"/>
        <item x="7"/>
        <item x="59"/>
        <item x="54"/>
        <item x="55"/>
        <item x="56"/>
        <item x="60"/>
        <item x="61"/>
        <item x="47"/>
        <item x="62"/>
        <item x="46"/>
        <item x="63"/>
        <item x="65"/>
        <item x="66"/>
        <item x="87"/>
        <item x="91"/>
        <item x="92"/>
        <item x="35"/>
        <item x="9"/>
        <item x="67"/>
        <item x="68"/>
        <item x="69"/>
        <item x="70"/>
        <item x="71"/>
        <item x="72"/>
        <item x="73"/>
        <item x="12"/>
        <item x="75"/>
        <item x="77"/>
        <item x="2"/>
        <item x="14"/>
        <item x="78"/>
        <item x="79"/>
        <item x="80"/>
        <item x="30"/>
        <item x="82"/>
        <item x="83"/>
        <item x="96"/>
        <item x="97"/>
        <item x="98"/>
        <item x="99"/>
        <item x="38"/>
        <item x="29"/>
        <item x="100"/>
        <item x="40"/>
        <item x="89"/>
        <item x="94"/>
        <item x="101"/>
        <item x="102"/>
        <item x="103"/>
        <item x="22"/>
        <item x="74"/>
        <item x="90"/>
        <item x="21"/>
        <item x="18"/>
        <item x="58"/>
        <item x="23"/>
        <item x="84"/>
        <item x="85"/>
        <item x="86"/>
        <item x="88"/>
        <item x="24"/>
        <item x="104"/>
        <item x="105"/>
        <item x="106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</pivotFields>
  <rowFields count="2">
    <field x="5"/>
    <field x="7"/>
  </rowFields>
  <rowItems count="87">
    <i>
      <x v="1"/>
    </i>
    <i r="1">
      <x v="18"/>
    </i>
    <i r="1">
      <x v="19"/>
    </i>
    <i r="1">
      <x v="20"/>
    </i>
    <i r="1">
      <x v="21"/>
    </i>
    <i r="1">
      <x v="22"/>
    </i>
    <i>
      <x v="2"/>
    </i>
    <i r="1">
      <x v="23"/>
    </i>
    <i>
      <x v="3"/>
    </i>
    <i r="1">
      <x v="24"/>
    </i>
    <i r="1">
      <x v="25"/>
    </i>
    <i>
      <x v="4"/>
    </i>
    <i r="1">
      <x v="28"/>
    </i>
    <i>
      <x v="5"/>
    </i>
    <i r="1">
      <x v="31"/>
    </i>
    <i>
      <x v="6"/>
    </i>
    <i r="1">
      <x v="32"/>
    </i>
    <i>
      <x v="7"/>
    </i>
    <i r="1">
      <x v="33"/>
    </i>
    <i r="1">
      <x v="34"/>
    </i>
    <i r="1">
      <x v="35"/>
    </i>
    <i>
      <x v="8"/>
    </i>
    <i r="1">
      <x v="36"/>
    </i>
    <i>
      <x v="9"/>
    </i>
    <i r="1">
      <x v="38"/>
    </i>
    <i>
      <x v="10"/>
    </i>
    <i r="1">
      <x v="41"/>
    </i>
    <i r="1">
      <x v="42"/>
    </i>
    <i>
      <x v="11"/>
    </i>
    <i r="1">
      <x v="44"/>
    </i>
    <i>
      <x v="12"/>
    </i>
    <i r="1">
      <x v="45"/>
    </i>
    <i r="1">
      <x v="46"/>
    </i>
    <i>
      <x v="13"/>
    </i>
    <i r="1">
      <x v="52"/>
    </i>
    <i>
      <x v="14"/>
    </i>
    <i r="1">
      <x v="54"/>
    </i>
    <i>
      <x v="15"/>
    </i>
    <i r="1">
      <x/>
    </i>
    <i r="1">
      <x v="1"/>
    </i>
    <i r="1">
      <x v="2"/>
    </i>
    <i r="1">
      <x v="56"/>
    </i>
    <i r="1">
      <x v="57"/>
    </i>
    <i r="1">
      <x v="58"/>
    </i>
    <i r="1">
      <x v="59"/>
    </i>
    <i r="1">
      <x v="60"/>
    </i>
    <i>
      <x v="16"/>
    </i>
    <i r="1">
      <x v="61"/>
    </i>
    <i>
      <x v="17"/>
    </i>
    <i r="1">
      <x v="62"/>
    </i>
    <i>
      <x v="18"/>
    </i>
    <i r="1">
      <x v="70"/>
    </i>
    <i>
      <x v="19"/>
    </i>
    <i r="1">
      <x v="73"/>
    </i>
    <i>
      <x v="20"/>
    </i>
    <i r="1">
      <x v="74"/>
    </i>
    <i>
      <x v="21"/>
    </i>
    <i r="1">
      <x v="78"/>
    </i>
    <i>
      <x v="22"/>
    </i>
    <i r="1">
      <x v="85"/>
    </i>
    <i r="1">
      <x v="86"/>
    </i>
    <i r="1">
      <x v="87"/>
    </i>
    <i r="1">
      <x v="88"/>
    </i>
    <i r="1">
      <x v="89"/>
    </i>
    <i r="1">
      <x v="90"/>
    </i>
    <i>
      <x v="23"/>
    </i>
    <i r="1">
      <x v="92"/>
    </i>
    <i r="1">
      <x v="93"/>
    </i>
    <i r="1">
      <x v="94"/>
    </i>
    <i r="1">
      <x v="95"/>
    </i>
    <i r="1">
      <x v="96"/>
    </i>
    <i r="1">
      <x v="97"/>
    </i>
    <i>
      <x v="24"/>
    </i>
    <i r="1">
      <x v="98"/>
    </i>
    <i r="1">
      <x v="99"/>
    </i>
    <i r="1">
      <x v="100"/>
    </i>
    <i r="1">
      <x v="101"/>
    </i>
    <i r="1">
      <x v="102"/>
    </i>
    <i r="1">
      <x v="103"/>
    </i>
    <i r="1">
      <x v="104"/>
    </i>
    <i>
      <x v="25"/>
    </i>
    <i r="1">
      <x v="105"/>
    </i>
    <i>
      <x v="26"/>
    </i>
    <i r="1">
      <x v="3"/>
    </i>
    <i r="1">
      <x v="4"/>
    </i>
    <i r="1">
      <x v="5"/>
    </i>
    <i t="grand">
      <x/>
    </i>
  </rowItems>
  <colItems count="1">
    <i/>
  </colItems>
  <pageFields count="1">
    <pageField fld="4" hier="-1"/>
  </pageFields>
  <dataFields count="1">
    <dataField name="Soma de #horas" fld="6" baseField="7" baseItem="0" numFmtId="165"/>
  </dataFields>
  <formats count="1">
    <format dxfId="1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B314F8-29C6-4CCC-995D-FDDBC8AF3A15}" name="Tabela dinâmica1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46" firstHeaderRow="1" firstDataRow="1" firstDataCol="1" rowPageCount="1" colPageCount="1"/>
  <pivotFields count="13">
    <pivotField numFmtId="22" showAll="0"/>
    <pivotField numFmtId="22" showAll="0"/>
    <pivotField showAll="0"/>
    <pivotField axis="axisPage" multipleItemSelectionAllowed="1" showAll="0">
      <items count="9">
        <item h="1" x="2"/>
        <item x="6"/>
        <item h="1" x="0"/>
        <item x="3"/>
        <item x="5"/>
        <item x="1"/>
        <item x="7"/>
        <item x="4"/>
        <item t="default"/>
      </items>
    </pivotField>
    <pivotField axis="axisRow" multipleItemSelectionAllowed="1" showAll="0">
      <items count="9">
        <item x="6"/>
        <item x="0"/>
        <item x="3"/>
        <item x="2"/>
        <item x="5"/>
        <item x="1"/>
        <item x="7"/>
        <item x="4"/>
        <item t="default"/>
      </items>
    </pivotField>
    <pivotField showAll="0"/>
    <pivotField dataField="1" numFmtId="165" showAll="0"/>
    <pivotField axis="axisRow" showAll="0">
      <items count="123">
        <item x="64"/>
        <item x="34"/>
        <item x="57"/>
        <item x="107"/>
        <item x="108"/>
        <item x="93"/>
        <item x="1"/>
        <item x="3"/>
        <item x="5"/>
        <item x="8"/>
        <item x="11"/>
        <item x="13"/>
        <item x="15"/>
        <item x="16"/>
        <item x="19"/>
        <item x="20"/>
        <item x="26"/>
        <item x="27"/>
        <item x="31"/>
        <item x="32"/>
        <item x="33"/>
        <item x="41"/>
        <item x="17"/>
        <item x="95"/>
        <item x="25"/>
        <item x="28"/>
        <item x="37"/>
        <item x="39"/>
        <item x="4"/>
        <item x="43"/>
        <item x="44"/>
        <item x="76"/>
        <item x="36"/>
        <item x="10"/>
        <item x="81"/>
        <item x="45"/>
        <item x="0"/>
        <item x="48"/>
        <item x="42"/>
        <item x="49"/>
        <item x="50"/>
        <item x="6"/>
        <item x="51"/>
        <item x="52"/>
        <item x="53"/>
        <item x="7"/>
        <item x="59"/>
        <item x="54"/>
        <item x="55"/>
        <item x="56"/>
        <item x="60"/>
        <item x="61"/>
        <item x="47"/>
        <item x="62"/>
        <item x="46"/>
        <item x="63"/>
        <item x="65"/>
        <item x="66"/>
        <item x="87"/>
        <item x="91"/>
        <item x="92"/>
        <item x="35"/>
        <item x="9"/>
        <item x="67"/>
        <item x="68"/>
        <item x="69"/>
        <item x="70"/>
        <item x="71"/>
        <item x="72"/>
        <item x="73"/>
        <item x="12"/>
        <item x="75"/>
        <item x="77"/>
        <item x="2"/>
        <item x="14"/>
        <item x="78"/>
        <item x="79"/>
        <item x="80"/>
        <item x="30"/>
        <item x="82"/>
        <item x="83"/>
        <item x="96"/>
        <item x="97"/>
        <item x="98"/>
        <item x="99"/>
        <item x="38"/>
        <item x="29"/>
        <item x="100"/>
        <item x="40"/>
        <item x="89"/>
        <item x="94"/>
        <item x="101"/>
        <item x="102"/>
        <item x="103"/>
        <item x="22"/>
        <item x="74"/>
        <item x="90"/>
        <item x="21"/>
        <item x="18"/>
        <item x="58"/>
        <item x="23"/>
        <item x="84"/>
        <item x="85"/>
        <item x="86"/>
        <item x="88"/>
        <item x="24"/>
        <item x="104"/>
        <item x="105"/>
        <item x="106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</pivotFields>
  <rowFields count="2">
    <field x="4"/>
    <field x="7"/>
  </rowFields>
  <rowItems count="43">
    <i>
      <x/>
    </i>
    <i r="1">
      <x v="13"/>
    </i>
    <i r="1">
      <x v="14"/>
    </i>
    <i r="1">
      <x v="17"/>
    </i>
    <i r="1">
      <x v="47"/>
    </i>
    <i r="1">
      <x v="49"/>
    </i>
    <i r="1">
      <x v="110"/>
    </i>
    <i>
      <x v="2"/>
    </i>
    <i r="1">
      <x v="8"/>
    </i>
    <i r="1">
      <x v="63"/>
    </i>
    <i r="1">
      <x v="64"/>
    </i>
    <i r="1">
      <x v="65"/>
    </i>
    <i r="1">
      <x v="72"/>
    </i>
    <i r="1">
      <x v="75"/>
    </i>
    <i>
      <x v="4"/>
    </i>
    <i r="1">
      <x v="10"/>
    </i>
    <i r="1">
      <x v="66"/>
    </i>
    <i>
      <x v="5"/>
    </i>
    <i r="1">
      <x v="6"/>
    </i>
    <i r="1">
      <x v="27"/>
    </i>
    <i r="1">
      <x v="30"/>
    </i>
    <i>
      <x v="6"/>
    </i>
    <i r="1">
      <x v="55"/>
    </i>
    <i r="1">
      <x v="77"/>
    </i>
    <i>
      <x v="7"/>
    </i>
    <i r="1">
      <x v="9"/>
    </i>
    <i r="1">
      <x v="15"/>
    </i>
    <i r="1">
      <x v="16"/>
    </i>
    <i r="1">
      <x v="29"/>
    </i>
    <i r="1">
      <x v="37"/>
    </i>
    <i r="1">
      <x v="43"/>
    </i>
    <i r="1">
      <x v="76"/>
    </i>
    <i r="1">
      <x v="81"/>
    </i>
    <i r="1">
      <x v="82"/>
    </i>
    <i r="1">
      <x v="83"/>
    </i>
    <i r="1">
      <x v="84"/>
    </i>
    <i r="1">
      <x v="91"/>
    </i>
    <i r="1">
      <x v="106"/>
    </i>
    <i r="1">
      <x v="112"/>
    </i>
    <i r="1">
      <x v="113"/>
    </i>
    <i r="1">
      <x v="114"/>
    </i>
    <i r="1">
      <x v="115"/>
    </i>
    <i t="grand">
      <x/>
    </i>
  </rowItems>
  <colItems count="1">
    <i/>
  </colItems>
  <pageFields count="1">
    <pageField fld="3" hier="-1"/>
  </pageFields>
  <dataFields count="1">
    <dataField name="Soma de #horas" fld="6" baseField="7" baseItem="0" numFmtId="165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54594E70-5970-4BEF-B456-8742FD4C7F0F}" autoFormatId="16" applyNumberFormats="0" applyBorderFormats="0" applyFontFormats="0" applyPatternFormats="0" applyAlignmentFormats="0" applyWidthHeightFormats="0">
  <queryTableRefresh nextId="14">
    <queryTableFields count="13">
      <queryTableField id="1" name="calendar_owner_name" tableColumnId="1"/>
      <queryTableField id="2" name="calendar_owner_email" tableColumnId="2"/>
      <queryTableField id="3" name="start_date" tableColumnId="3"/>
      <queryTableField id="10" dataBound="0" tableColumnId="10"/>
      <queryTableField id="12" dataBound="0" tableColumnId="13"/>
      <queryTableField id="13" dataBound="0" tableColumnId="14"/>
      <queryTableField id="11" dataBound="0" tableColumnId="12"/>
      <queryTableField id="4" name="end_date" tableColumnId="4"/>
      <queryTableField id="5" name="duration" tableColumnId="5"/>
      <queryTableField id="6" name="event" tableColumnId="6"/>
      <queryTableField id="7" name="created" tableColumnId="7"/>
      <queryTableField id="8" name="organizaer" tableColumnId="8"/>
      <queryTableField id="9" name="attendees[email|name|response_status]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88412B-C7A3-428C-B967-E566E28BE92B}" name="flavio_2023_mar_events" displayName="flavio_2023_mar_events" ref="A1:M212" tableType="queryTable" totalsRowShown="0">
  <autoFilter ref="A1:M212" xr:uid="{6388412B-C7A3-428C-B967-E566E28BE92B}">
    <filterColumn colId="4">
      <filters>
        <filter val="Education"/>
      </filters>
    </filterColumn>
  </autoFilter>
  <sortState xmlns:xlrd2="http://schemas.microsoft.com/office/spreadsheetml/2017/richdata2" ref="A2:M212">
    <sortCondition ref="H1:H212"/>
  </sortState>
  <tableColumns count="13">
    <tableColumn id="1" xr3:uid="{A9FE85B6-2B2B-41F4-9D2D-E46BDF301AFA}" uniqueName="1" name="calendar_owner_name" queryTableFieldId="1" dataDxfId="10"/>
    <tableColumn id="2" xr3:uid="{04012C62-98C0-4CD9-9226-A8D67D6E2D42}" uniqueName="2" name="calendar_owner_email" queryTableFieldId="2" dataDxfId="9"/>
    <tableColumn id="3" xr3:uid="{C2C5E9C2-0D7D-4836-A752-D096128129C2}" uniqueName="3" name="start_date" queryTableFieldId="3"/>
    <tableColumn id="10" xr3:uid="{07214333-44E0-44EC-AF62-F99641F44FFE}" uniqueName="10" name="filter" queryTableFieldId="10"/>
    <tableColumn id="13" xr3:uid="{4C7CFA14-67C8-4A8E-8223-6CB278A70742}" uniqueName="13" name="#filtro" queryTableFieldId="12" dataDxfId="16">
      <calculatedColumnFormula>VLOOKUP(flavio_2023_mar_events[[#This Row],[filter]],Filtros,2,0)</calculatedColumnFormula>
    </tableColumn>
    <tableColumn id="14" xr3:uid="{6A91531B-C352-4B2F-BEF8-A59F8F42DA0A}" uniqueName="14" name="cliente" queryTableFieldId="13" dataDxfId="15">
      <calculatedColumnFormula array="1">IF(flavio_2023_mar_events[[#This Row],[filter]]="C",LocalizarCliente(flavio_2023_mar_events[[#This Row],[end_date]]),"--")</calculatedColumnFormula>
    </tableColumn>
    <tableColumn id="12" xr3:uid="{B0B4A8BF-8738-4821-9753-293427A14352}" uniqueName="12" name="#horas" queryTableFieldId="11" dataDxfId="8">
      <calculatedColumnFormula>flavio_2023_mar_events[[#This Row],[calendar_owner_email]]-flavio_2023_mar_events[[#This Row],[calendar_owner_name]]</calculatedColumnFormula>
    </tableColumn>
    <tableColumn id="4" xr3:uid="{115556A7-CA9F-42DD-B7A3-E86CD43B3711}" uniqueName="4" name="end_date" queryTableFieldId="4" dataDxfId="7"/>
    <tableColumn id="5" xr3:uid="{0EF09055-1227-49E1-92EE-93EE3CE51BBC}" uniqueName="5" name="duration" queryTableFieldId="5" dataDxfId="6"/>
    <tableColumn id="6" xr3:uid="{C40BCC94-5BB5-4A4E-BC8F-24F1CD691E1C}" uniqueName="6" name="event" queryTableFieldId="6" dataDxfId="5"/>
    <tableColumn id="7" xr3:uid="{C385DCE5-1176-4BEC-A6F3-70879C250645}" uniqueName="7" name="created" queryTableFieldId="7" dataDxfId="4"/>
    <tableColumn id="8" xr3:uid="{C509EC95-4CED-4DC0-9780-C54A737F432B}" uniqueName="8" name="organizaer" queryTableFieldId="8" dataDxfId="3"/>
    <tableColumn id="9" xr3:uid="{16D49D24-7E4E-43F4-8406-FDEED7CD3762}" uniqueName="9" name="attendees[email|name|response_status]" queryTableFieldId="9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EA957-1787-43CD-9F3C-11A5D21EF69F}">
  <sheetPr codeName="Planilha1"/>
  <dimension ref="A1:M212"/>
  <sheetViews>
    <sheetView topLeftCell="B1" workbookViewId="0">
      <selection activeCell="D70" sqref="D70"/>
    </sheetView>
  </sheetViews>
  <sheetFormatPr defaultRowHeight="14.5" x14ac:dyDescent="0.35"/>
  <cols>
    <col min="1" max="1" width="22.54296875" bestFit="1" customWidth="1"/>
    <col min="2" max="2" width="22.36328125" bestFit="1" customWidth="1"/>
    <col min="3" max="3" width="11.90625" bestFit="1" customWidth="1"/>
    <col min="4" max="4" width="7.08984375" bestFit="1" customWidth="1"/>
    <col min="5" max="5" width="12.36328125" bestFit="1" customWidth="1"/>
    <col min="6" max="6" width="51.90625" bestFit="1" customWidth="1"/>
    <col min="7" max="7" width="8.81640625" bestFit="1" customWidth="1"/>
    <col min="8" max="8" width="80.7265625" bestFit="1" customWidth="1"/>
    <col min="9" max="9" width="10.36328125" bestFit="1" customWidth="1"/>
    <col min="10" max="10" width="7.81640625" bestFit="1" customWidth="1"/>
    <col min="11" max="11" width="9.453125" bestFit="1" customWidth="1"/>
    <col min="12" max="12" width="11.90625" bestFit="1" customWidth="1"/>
    <col min="13" max="13" width="38.26953125" bestFit="1" customWidth="1"/>
  </cols>
  <sheetData>
    <row r="1" spans="1:13" x14ac:dyDescent="0.35">
      <c r="A1" t="s">
        <v>0</v>
      </c>
      <c r="B1" t="s">
        <v>1</v>
      </c>
      <c r="C1" t="s">
        <v>2</v>
      </c>
      <c r="D1" t="s">
        <v>133</v>
      </c>
      <c r="E1" t="s">
        <v>201</v>
      </c>
      <c r="F1" t="s">
        <v>202</v>
      </c>
      <c r="G1" t="s">
        <v>142</v>
      </c>
      <c r="H1" t="s">
        <v>3</v>
      </c>
      <c r="I1" t="s">
        <v>4</v>
      </c>
      <c r="J1" t="s">
        <v>5</v>
      </c>
      <c r="K1" t="s">
        <v>6</v>
      </c>
      <c r="L1" t="s">
        <v>7</v>
      </c>
      <c r="M1" t="s">
        <v>8</v>
      </c>
    </row>
    <row r="2" spans="1:13" hidden="1" x14ac:dyDescent="0.35">
      <c r="A2" s="1">
        <v>45012.708333333336</v>
      </c>
      <c r="B2" s="1">
        <v>45012.75</v>
      </c>
      <c r="C2">
        <v>10</v>
      </c>
      <c r="D2" t="s">
        <v>136</v>
      </c>
      <c r="E2" t="str">
        <f>VLOOKUP(flavio_2023_mar_events[[#This Row],[filter]],Filtros,2,0)</f>
        <v>Cliente</v>
      </c>
      <c r="F2" t="str" cm="1">
        <f t="array" ref="F2">IF(flavio_2023_mar_events[[#This Row],[filter]]="C",LocalizarCliente(flavio_2023_mar_events[[#This Row],[end_date]]),"--")</f>
        <v>Open Banking Fase 3</v>
      </c>
      <c r="G2" s="5">
        <f>flavio_2023_mar_events[[#This Row],[calendar_owner_email]]-flavio_2023_mar_events[[#This Row],[calendar_owner_name]]</f>
        <v>4.1666666664241347E-2</v>
      </c>
      <c r="H2" s="2" t="s">
        <v>113</v>
      </c>
      <c r="I2" s="2" t="s">
        <v>10</v>
      </c>
      <c r="J2" s="2" t="s">
        <v>10</v>
      </c>
      <c r="K2" s="2" t="s">
        <v>10</v>
      </c>
      <c r="L2" s="2" t="s">
        <v>10</v>
      </c>
      <c r="M2" s="2" t="s">
        <v>10</v>
      </c>
    </row>
    <row r="3" spans="1:13" x14ac:dyDescent="0.35">
      <c r="A3" s="1">
        <v>45005.395833333336</v>
      </c>
      <c r="B3" s="1">
        <v>45005.416666666664</v>
      </c>
      <c r="C3">
        <v>5</v>
      </c>
      <c r="D3" t="s">
        <v>135</v>
      </c>
      <c r="E3" t="str">
        <f>VLOOKUP(flavio_2023_mar_events[[#This Row],[filter]],Filtros,2,0)</f>
        <v>Education</v>
      </c>
      <c r="F3" t="str" cm="1">
        <f t="array" ref="F3">IF(flavio_2023_mar_events[[#This Row],[filter]]="C",LocalizarCliente(flavio_2023_mar_events[[#This Row],[end_date]]),"--")</f>
        <v>--</v>
      </c>
      <c r="G3" s="5">
        <f>flavio_2023_mar_events[[#This Row],[calendar_owner_email]]-flavio_2023_mar_events[[#This Row],[calendar_owner_name]]</f>
        <v>2.0833333328482695E-2</v>
      </c>
      <c r="H3" s="2" t="s">
        <v>88</v>
      </c>
      <c r="I3" s="2" t="s">
        <v>10</v>
      </c>
      <c r="J3" s="2" t="s">
        <v>10</v>
      </c>
      <c r="K3" s="2" t="s">
        <v>10</v>
      </c>
      <c r="L3" s="2" t="s">
        <v>10</v>
      </c>
      <c r="M3" s="2" t="s">
        <v>10</v>
      </c>
    </row>
    <row r="4" spans="1:13" hidden="1" x14ac:dyDescent="0.35">
      <c r="A4" s="1">
        <v>45007.416666666664</v>
      </c>
      <c r="B4" s="1">
        <v>45007.458333333336</v>
      </c>
      <c r="C4">
        <v>10</v>
      </c>
      <c r="D4">
        <v>0</v>
      </c>
      <c r="E4" t="str">
        <f>VLOOKUP(flavio_2023_mar_events[[#This Row],[filter]],Filtros,2,0)</f>
        <v>Nulo</v>
      </c>
      <c r="F4" t="str" cm="1">
        <f t="array" ref="F4">IF(flavio_2023_mar_events[[#This Row],[filter]]="C",LocalizarCliente(flavio_2023_mar_events[[#This Row],[end_date]]),"--")</f>
        <v>--</v>
      </c>
      <c r="G4" s="5">
        <f>flavio_2023_mar_events[[#This Row],[calendar_owner_email]]-flavio_2023_mar_events[[#This Row],[calendar_owner_name]]</f>
        <v>4.1666666671517305E-2</v>
      </c>
      <c r="H4" s="2" t="s">
        <v>96</v>
      </c>
      <c r="I4" s="2" t="s">
        <v>10</v>
      </c>
      <c r="J4" s="2" t="s">
        <v>10</v>
      </c>
      <c r="K4" s="2" t="s">
        <v>10</v>
      </c>
      <c r="L4" s="2" t="s">
        <v>10</v>
      </c>
      <c r="M4" s="2" t="s">
        <v>10</v>
      </c>
    </row>
    <row r="5" spans="1:13" hidden="1" x14ac:dyDescent="0.35">
      <c r="A5" s="1">
        <v>45015.458333333336</v>
      </c>
      <c r="B5" s="1">
        <v>45015.5</v>
      </c>
      <c r="C5">
        <v>10</v>
      </c>
      <c r="D5">
        <v>0</v>
      </c>
      <c r="E5" t="str">
        <f>VLOOKUP(flavio_2023_mar_events[[#This Row],[filter]],Filtros,2,0)</f>
        <v>Nulo</v>
      </c>
      <c r="F5" t="str" cm="1">
        <f t="array" ref="F5">IF(flavio_2023_mar_events[[#This Row],[filter]]="C",LocalizarCliente(flavio_2023_mar_events[[#This Row],[end_date]]),"--")</f>
        <v>--</v>
      </c>
      <c r="G5" s="5">
        <f>flavio_2023_mar_events[[#This Row],[calendar_owner_email]]-flavio_2023_mar_events[[#This Row],[calendar_owner_name]]</f>
        <v>4.1666666664241347E-2</v>
      </c>
      <c r="H5" s="2" t="s">
        <v>124</v>
      </c>
      <c r="I5" s="2" t="s">
        <v>10</v>
      </c>
      <c r="J5" s="2" t="s">
        <v>10</v>
      </c>
      <c r="K5" s="2" t="s">
        <v>10</v>
      </c>
      <c r="L5" s="2" t="s">
        <v>10</v>
      </c>
      <c r="M5" s="2" t="s">
        <v>10</v>
      </c>
    </row>
    <row r="6" spans="1:13" hidden="1" x14ac:dyDescent="0.35">
      <c r="A6" s="1">
        <v>45007.479166666664</v>
      </c>
      <c r="B6" s="1">
        <v>45007.489583333336</v>
      </c>
      <c r="C6">
        <v>25</v>
      </c>
      <c r="D6">
        <v>0</v>
      </c>
      <c r="E6" t="str">
        <f>VLOOKUP(flavio_2023_mar_events[[#This Row],[filter]],Filtros,2,0)</f>
        <v>Nulo</v>
      </c>
      <c r="F6" t="str" cm="1">
        <f t="array" ref="F6">IF(flavio_2023_mar_events[[#This Row],[filter]]="C",LocalizarCliente(flavio_2023_mar_events[[#This Row],[end_date]]),"--")</f>
        <v>--</v>
      </c>
      <c r="G6" s="5">
        <f>flavio_2023_mar_events[[#This Row],[calendar_owner_email]]-flavio_2023_mar_events[[#This Row],[calendar_owner_name]]</f>
        <v>1.0416666671517305E-2</v>
      </c>
      <c r="H6" s="2" t="s">
        <v>98</v>
      </c>
      <c r="I6" s="2" t="s">
        <v>10</v>
      </c>
      <c r="J6" s="2" t="s">
        <v>10</v>
      </c>
      <c r="K6" s="2" t="s">
        <v>10</v>
      </c>
      <c r="L6" s="2" t="s">
        <v>10</v>
      </c>
      <c r="M6" s="2" t="s">
        <v>10</v>
      </c>
    </row>
    <row r="7" spans="1:13" hidden="1" x14ac:dyDescent="0.35">
      <c r="A7" s="1">
        <v>44999.458333333336</v>
      </c>
      <c r="B7" s="1">
        <v>44999.479166666664</v>
      </c>
      <c r="C7">
        <v>5</v>
      </c>
      <c r="D7" t="s">
        <v>141</v>
      </c>
      <c r="E7" t="str">
        <f>VLOOKUP(flavio_2023_mar_events[[#This Row],[filter]],Filtros,2,0)</f>
        <v>Solutions</v>
      </c>
      <c r="F7" t="str" cm="1">
        <f t="array" ref="F7">IF(flavio_2023_mar_events[[#This Row],[filter]]="C",LocalizarCliente(flavio_2023_mar_events[[#This Row],[end_date]]),"--")</f>
        <v>--</v>
      </c>
      <c r="G7" s="5">
        <f>flavio_2023_mar_events[[#This Row],[calendar_owner_email]]-flavio_2023_mar_events[[#This Row],[calendar_owner_name]]</f>
        <v>2.0833333328482695E-2</v>
      </c>
      <c r="H7" s="2" t="s">
        <v>66</v>
      </c>
      <c r="I7" s="2" t="s">
        <v>10</v>
      </c>
      <c r="J7" s="2" t="s">
        <v>10</v>
      </c>
      <c r="K7" s="2" t="s">
        <v>10</v>
      </c>
      <c r="L7" s="2" t="s">
        <v>10</v>
      </c>
      <c r="M7" s="2" t="s">
        <v>10</v>
      </c>
    </row>
    <row r="8" spans="1:13" hidden="1" x14ac:dyDescent="0.35">
      <c r="A8" s="1">
        <v>45009.375</v>
      </c>
      <c r="B8" s="1">
        <v>45009.416666666664</v>
      </c>
      <c r="C8">
        <v>10</v>
      </c>
      <c r="D8" t="s">
        <v>136</v>
      </c>
      <c r="E8" t="str">
        <f>VLOOKUP(flavio_2023_mar_events[[#This Row],[filter]],Filtros,2,0)</f>
        <v>Cliente</v>
      </c>
      <c r="F8" t="str" cm="1">
        <f t="array" ref="F8">IF(flavio_2023_mar_events[[#This Row],[filter]]="C",LocalizarCliente(flavio_2023_mar_events[[#This Row],[end_date]]),"--")</f>
        <v>[FastPays] Projeto</v>
      </c>
      <c r="G8" s="5">
        <f>flavio_2023_mar_events[[#This Row],[calendar_owner_email]]-flavio_2023_mar_events[[#This Row],[calendar_owner_name]]</f>
        <v>4.1666666664241347E-2</v>
      </c>
      <c r="H8" s="2" t="s">
        <v>105</v>
      </c>
      <c r="I8" s="2" t="s">
        <v>10</v>
      </c>
      <c r="J8" s="2" t="s">
        <v>10</v>
      </c>
      <c r="K8" s="2" t="s">
        <v>10</v>
      </c>
      <c r="L8" s="2" t="s">
        <v>10</v>
      </c>
      <c r="M8" s="2" t="s">
        <v>10</v>
      </c>
    </row>
    <row r="9" spans="1:13" hidden="1" x14ac:dyDescent="0.35">
      <c r="A9" s="1">
        <v>44994.416666666664</v>
      </c>
      <c r="B9" s="1">
        <v>44994.458333333336</v>
      </c>
      <c r="C9">
        <v>10</v>
      </c>
      <c r="D9" t="s">
        <v>136</v>
      </c>
      <c r="E9" t="str">
        <f>VLOOKUP(flavio_2023_mar_events[[#This Row],[filter]],Filtros,2,0)</f>
        <v>Cliente</v>
      </c>
      <c r="F9" t="str" cm="1">
        <f t="array" ref="F9">IF(flavio_2023_mar_events[[#This Row],[filter]]="C",LocalizarCliente(flavio_2023_mar_events[[#This Row],[end_date]]),"--")</f>
        <v>[FitBank] Agenda Presencial</v>
      </c>
      <c r="G9" s="5">
        <f>flavio_2023_mar_events[[#This Row],[calendar_owner_email]]-flavio_2023_mar_events[[#This Row],[calendar_owner_name]]</f>
        <v>4.1666666671517305E-2</v>
      </c>
      <c r="H9" s="2" t="s">
        <v>49</v>
      </c>
      <c r="I9" s="2" t="s">
        <v>10</v>
      </c>
      <c r="J9" s="2" t="s">
        <v>10</v>
      </c>
      <c r="K9" s="2" t="s">
        <v>10</v>
      </c>
      <c r="L9" s="2" t="s">
        <v>10</v>
      </c>
      <c r="M9" s="2" t="s">
        <v>10</v>
      </c>
    </row>
    <row r="10" spans="1:13" hidden="1" x14ac:dyDescent="0.35">
      <c r="A10" s="1">
        <v>44986.666666666664</v>
      </c>
      <c r="B10" s="1">
        <v>44986.708333333336</v>
      </c>
      <c r="C10">
        <v>10</v>
      </c>
      <c r="D10" t="s">
        <v>136</v>
      </c>
      <c r="E10" t="str">
        <f>VLOOKUP(flavio_2023_mar_events[[#This Row],[filter]],Filtros,2,0)</f>
        <v>Cliente</v>
      </c>
      <c r="F10" t="str" cm="1">
        <f t="array" ref="F10">IF(flavio_2023_mar_events[[#This Row],[filter]]="C",LocalizarCliente(flavio_2023_mar_events[[#This Row],[end_date]]),"--")</f>
        <v>[GTM IpaaS]</v>
      </c>
      <c r="G10" s="5">
        <f>flavio_2023_mar_events[[#This Row],[calendar_owner_email]]-flavio_2023_mar_events[[#This Row],[calendar_owner_name]]</f>
        <v>4.1666666671517305E-2</v>
      </c>
      <c r="H10" s="2" t="s">
        <v>17</v>
      </c>
      <c r="I10" s="2" t="s">
        <v>10</v>
      </c>
      <c r="J10" s="2" t="s">
        <v>10</v>
      </c>
      <c r="K10" s="2" t="s">
        <v>10</v>
      </c>
      <c r="L10" s="2" t="s">
        <v>10</v>
      </c>
      <c r="M10" s="2" t="s">
        <v>10</v>
      </c>
    </row>
    <row r="11" spans="1:13" hidden="1" x14ac:dyDescent="0.35">
      <c r="A11" s="1">
        <v>44993.666666666664</v>
      </c>
      <c r="B11" s="1">
        <v>44993.708333333336</v>
      </c>
      <c r="C11">
        <v>10</v>
      </c>
      <c r="D11" t="s">
        <v>136</v>
      </c>
      <c r="E11" t="str">
        <f>VLOOKUP(flavio_2023_mar_events[[#This Row],[filter]],Filtros,2,0)</f>
        <v>Cliente</v>
      </c>
      <c r="F11" t="str" cm="1">
        <f t="array" ref="F11">IF(flavio_2023_mar_events[[#This Row],[filter]]="C",LocalizarCliente(flavio_2023_mar_events[[#This Row],[end_date]]),"--")</f>
        <v>[GTM IpaaS]</v>
      </c>
      <c r="G11" s="5">
        <f>flavio_2023_mar_events[[#This Row],[calendar_owner_email]]-flavio_2023_mar_events[[#This Row],[calendar_owner_name]]</f>
        <v>4.1666666671517305E-2</v>
      </c>
      <c r="H11" s="2" t="s">
        <v>17</v>
      </c>
      <c r="I11" s="2" t="s">
        <v>10</v>
      </c>
      <c r="J11" s="2" t="s">
        <v>10</v>
      </c>
      <c r="K11" s="2" t="s">
        <v>10</v>
      </c>
      <c r="L11" s="2" t="s">
        <v>10</v>
      </c>
      <c r="M11" s="2" t="s">
        <v>10</v>
      </c>
    </row>
    <row r="12" spans="1:13" hidden="1" x14ac:dyDescent="0.35">
      <c r="A12" s="1">
        <v>45000.666666666664</v>
      </c>
      <c r="B12" s="1">
        <v>45000.708333333336</v>
      </c>
      <c r="C12">
        <v>10</v>
      </c>
      <c r="D12" t="s">
        <v>141</v>
      </c>
      <c r="E12" t="str">
        <f>VLOOKUP(flavio_2023_mar_events[[#This Row],[filter]],Filtros,2,0)</f>
        <v>Solutions</v>
      </c>
      <c r="F12" t="str" cm="1">
        <f t="array" ref="F12">IF(flavio_2023_mar_events[[#This Row],[filter]]="C",LocalizarCliente(flavio_2023_mar_events[[#This Row],[end_date]]),"--")</f>
        <v>--</v>
      </c>
      <c r="G12" s="5">
        <f>flavio_2023_mar_events[[#This Row],[calendar_owner_email]]-flavio_2023_mar_events[[#This Row],[calendar_owner_name]]</f>
        <v>4.1666666671517305E-2</v>
      </c>
      <c r="H12" s="2" t="s">
        <v>17</v>
      </c>
      <c r="I12" s="2" t="s">
        <v>10</v>
      </c>
      <c r="J12" s="2" t="s">
        <v>10</v>
      </c>
      <c r="K12" s="2" t="s">
        <v>10</v>
      </c>
      <c r="L12" s="2" t="s">
        <v>10</v>
      </c>
      <c r="M12" s="2" t="s">
        <v>10</v>
      </c>
    </row>
    <row r="13" spans="1:13" hidden="1" x14ac:dyDescent="0.35">
      <c r="A13" s="1">
        <v>45007.666666666664</v>
      </c>
      <c r="B13" s="1">
        <v>45007.708333333336</v>
      </c>
      <c r="C13">
        <v>10</v>
      </c>
      <c r="D13">
        <v>0</v>
      </c>
      <c r="E13" t="str">
        <f>VLOOKUP(flavio_2023_mar_events[[#This Row],[filter]],Filtros,2,0)</f>
        <v>Nulo</v>
      </c>
      <c r="F13" t="str" cm="1">
        <f t="array" ref="F13">IF(flavio_2023_mar_events[[#This Row],[filter]]="C",LocalizarCliente(flavio_2023_mar_events[[#This Row],[end_date]]),"--")</f>
        <v>--</v>
      </c>
      <c r="G13" s="5">
        <f>flavio_2023_mar_events[[#This Row],[calendar_owner_email]]-flavio_2023_mar_events[[#This Row],[calendar_owner_name]]</f>
        <v>4.1666666671517305E-2</v>
      </c>
      <c r="H13" s="2" t="s">
        <v>17</v>
      </c>
      <c r="I13" s="2" t="s">
        <v>10</v>
      </c>
      <c r="J13" s="2" t="s">
        <v>10</v>
      </c>
      <c r="K13" s="2" t="s">
        <v>10</v>
      </c>
      <c r="L13" s="2" t="s">
        <v>10</v>
      </c>
      <c r="M13" s="2" t="s">
        <v>10</v>
      </c>
    </row>
    <row r="14" spans="1:13" hidden="1" x14ac:dyDescent="0.35">
      <c r="A14" s="1">
        <v>45014.666666666664</v>
      </c>
      <c r="B14" s="1">
        <v>45014.708333333336</v>
      </c>
      <c r="C14">
        <v>10</v>
      </c>
      <c r="D14" t="s">
        <v>136</v>
      </c>
      <c r="E14" t="str">
        <f>VLOOKUP(flavio_2023_mar_events[[#This Row],[filter]],Filtros,2,0)</f>
        <v>Cliente</v>
      </c>
      <c r="F14" t="str" cm="1">
        <f t="array" ref="F14">IF(flavio_2023_mar_events[[#This Row],[filter]]="C",LocalizarCliente(flavio_2023_mar_events[[#This Row],[end_date]]),"--")</f>
        <v>[GTM IpaaS]</v>
      </c>
      <c r="G14" s="5">
        <f>flavio_2023_mar_events[[#This Row],[calendar_owner_email]]-flavio_2023_mar_events[[#This Row],[calendar_owner_name]]</f>
        <v>4.1666666671517305E-2</v>
      </c>
      <c r="H14" s="2" t="s">
        <v>17</v>
      </c>
      <c r="I14" s="2" t="s">
        <v>10</v>
      </c>
      <c r="J14" s="2" t="s">
        <v>10</v>
      </c>
      <c r="K14" s="2" t="s">
        <v>10</v>
      </c>
      <c r="L14" s="2" t="s">
        <v>10</v>
      </c>
      <c r="M14" s="2" t="s">
        <v>10</v>
      </c>
    </row>
    <row r="15" spans="1:13" hidden="1" x14ac:dyDescent="0.35">
      <c r="A15" s="1">
        <v>44999.604166666664</v>
      </c>
      <c r="B15" s="1">
        <v>44999.635416666664</v>
      </c>
      <c r="C15">
        <v>75</v>
      </c>
      <c r="D15">
        <v>0</v>
      </c>
      <c r="E15" t="str">
        <f>VLOOKUP(flavio_2023_mar_events[[#This Row],[filter]],Filtros,2,0)</f>
        <v>Nulo</v>
      </c>
      <c r="F15" t="str" cm="1">
        <f t="array" ref="F15">IF(flavio_2023_mar_events[[#This Row],[filter]]="C",LocalizarCliente(flavio_2023_mar_events[[#This Row],[end_date]]),"--")</f>
        <v>--</v>
      </c>
      <c r="G15" s="5">
        <f>flavio_2023_mar_events[[#This Row],[calendar_owner_email]]-flavio_2023_mar_events[[#This Row],[calendar_owner_name]]</f>
        <v>3.125E-2</v>
      </c>
      <c r="H15" s="2" t="s">
        <v>71</v>
      </c>
      <c r="I15" s="2" t="s">
        <v>10</v>
      </c>
      <c r="J15" s="2" t="s">
        <v>10</v>
      </c>
      <c r="K15" s="2" t="s">
        <v>10</v>
      </c>
      <c r="L15" s="2" t="s">
        <v>10</v>
      </c>
      <c r="M15" s="2" t="s">
        <v>10</v>
      </c>
    </row>
    <row r="16" spans="1:13" hidden="1" x14ac:dyDescent="0.35">
      <c r="A16" s="1">
        <v>44999.583333333336</v>
      </c>
      <c r="B16" s="1">
        <v>44999.604166666664</v>
      </c>
      <c r="C16">
        <v>5</v>
      </c>
      <c r="D16" t="s">
        <v>141</v>
      </c>
      <c r="E16" t="str">
        <f>VLOOKUP(flavio_2023_mar_events[[#This Row],[filter]],Filtros,2,0)</f>
        <v>Solutions</v>
      </c>
      <c r="F16" t="str" cm="1">
        <f t="array" ref="F16">IF(flavio_2023_mar_events[[#This Row],[filter]]="C",LocalizarCliente(flavio_2023_mar_events[[#This Row],[end_date]]),"--")</f>
        <v>--</v>
      </c>
      <c r="G16" s="5">
        <f>flavio_2023_mar_events[[#This Row],[calendar_owner_email]]-flavio_2023_mar_events[[#This Row],[calendar_owner_name]]</f>
        <v>2.0833333328482695E-2</v>
      </c>
      <c r="H16" s="2" t="s">
        <v>70</v>
      </c>
      <c r="I16" s="2" t="s">
        <v>10</v>
      </c>
      <c r="J16" s="2" t="s">
        <v>10</v>
      </c>
      <c r="K16" s="2" t="s">
        <v>10</v>
      </c>
      <c r="L16" s="2" t="s">
        <v>10</v>
      </c>
      <c r="M16" s="2" t="s">
        <v>10</v>
      </c>
    </row>
    <row r="17" spans="1:13" hidden="1" x14ac:dyDescent="0.35">
      <c r="A17" s="1">
        <v>44987.458333333336</v>
      </c>
      <c r="B17" s="1">
        <v>44987.5</v>
      </c>
      <c r="C17">
        <v>10</v>
      </c>
      <c r="D17" t="s">
        <v>141</v>
      </c>
      <c r="E17" t="str">
        <f>VLOOKUP(flavio_2023_mar_events[[#This Row],[filter]],Filtros,2,0)</f>
        <v>Solutions</v>
      </c>
      <c r="F17" t="str" cm="1">
        <f t="array" ref="F17">IF(flavio_2023_mar_events[[#This Row],[filter]]="C",LocalizarCliente(flavio_2023_mar_events[[#This Row],[end_date]]),"--")</f>
        <v>--</v>
      </c>
      <c r="G17" s="5">
        <f>flavio_2023_mar_events[[#This Row],[calendar_owner_email]]-flavio_2023_mar_events[[#This Row],[calendar_owner_name]]</f>
        <v>4.1666666664241347E-2</v>
      </c>
      <c r="H17" s="2" t="s">
        <v>20</v>
      </c>
      <c r="I17" s="2" t="s">
        <v>10</v>
      </c>
      <c r="J17" s="2" t="s">
        <v>10</v>
      </c>
      <c r="K17" s="2" t="s">
        <v>10</v>
      </c>
      <c r="L17" s="2" t="s">
        <v>10</v>
      </c>
      <c r="M17" s="2" t="s">
        <v>10</v>
      </c>
    </row>
    <row r="18" spans="1:13" hidden="1" x14ac:dyDescent="0.35">
      <c r="A18" s="1">
        <v>44994.458333333336</v>
      </c>
      <c r="B18" s="1">
        <v>44994.5</v>
      </c>
      <c r="C18">
        <v>10</v>
      </c>
      <c r="D18">
        <v>0</v>
      </c>
      <c r="E18" t="str">
        <f>VLOOKUP(flavio_2023_mar_events[[#This Row],[filter]],Filtros,2,0)</f>
        <v>Nulo</v>
      </c>
      <c r="F18" t="str" cm="1">
        <f t="array" ref="F18">IF(flavio_2023_mar_events[[#This Row],[filter]]="C",LocalizarCliente(flavio_2023_mar_events[[#This Row],[end_date]]),"--")</f>
        <v>--</v>
      </c>
      <c r="G18" s="5">
        <f>flavio_2023_mar_events[[#This Row],[calendar_owner_email]]-flavio_2023_mar_events[[#This Row],[calendar_owner_name]]</f>
        <v>4.1666666664241347E-2</v>
      </c>
      <c r="H18" s="2" t="s">
        <v>20</v>
      </c>
      <c r="I18" s="2" t="s">
        <v>10</v>
      </c>
      <c r="J18" s="2" t="s">
        <v>10</v>
      </c>
      <c r="K18" s="2" t="s">
        <v>10</v>
      </c>
      <c r="L18" s="2" t="s">
        <v>10</v>
      </c>
      <c r="M18" s="2" t="s">
        <v>10</v>
      </c>
    </row>
    <row r="19" spans="1:13" hidden="1" x14ac:dyDescent="0.35">
      <c r="A19" s="1">
        <v>45001.458333333336</v>
      </c>
      <c r="B19" s="1">
        <v>45001.5</v>
      </c>
      <c r="C19">
        <v>10</v>
      </c>
      <c r="D19" t="s">
        <v>143</v>
      </c>
      <c r="E19" t="str">
        <f>VLOOKUP(flavio_2023_mar_events[[#This Row],[filter]],Filtros,2,0)</f>
        <v>BizDevs</v>
      </c>
      <c r="F19" t="str" cm="1">
        <f t="array" ref="F19">IF(flavio_2023_mar_events[[#This Row],[filter]]="C",LocalizarCliente(flavio_2023_mar_events[[#This Row],[end_date]]),"--")</f>
        <v>--</v>
      </c>
      <c r="G19" s="5">
        <f>flavio_2023_mar_events[[#This Row],[calendar_owner_email]]-flavio_2023_mar_events[[#This Row],[calendar_owner_name]]</f>
        <v>4.1666666664241347E-2</v>
      </c>
      <c r="H19" s="2" t="s">
        <v>20</v>
      </c>
      <c r="I19" s="2" t="s">
        <v>10</v>
      </c>
      <c r="J19" s="2" t="s">
        <v>10</v>
      </c>
      <c r="K19" s="2" t="s">
        <v>10</v>
      </c>
      <c r="L19" s="2" t="s">
        <v>10</v>
      </c>
      <c r="M19" s="2" t="s">
        <v>10</v>
      </c>
    </row>
    <row r="20" spans="1:13" hidden="1" x14ac:dyDescent="0.35">
      <c r="A20" s="1">
        <v>45008.458333333336</v>
      </c>
      <c r="B20" s="1">
        <v>45008.5</v>
      </c>
      <c r="C20">
        <v>10</v>
      </c>
      <c r="D20">
        <v>0</v>
      </c>
      <c r="E20" t="str">
        <f>VLOOKUP(flavio_2023_mar_events[[#This Row],[filter]],Filtros,2,0)</f>
        <v>Nulo</v>
      </c>
      <c r="F20" t="str" cm="1">
        <f t="array" ref="F20">IF(flavio_2023_mar_events[[#This Row],[filter]]="C",LocalizarCliente(flavio_2023_mar_events[[#This Row],[end_date]]),"--")</f>
        <v>--</v>
      </c>
      <c r="G20" s="5">
        <f>flavio_2023_mar_events[[#This Row],[calendar_owner_email]]-flavio_2023_mar_events[[#This Row],[calendar_owner_name]]</f>
        <v>4.1666666664241347E-2</v>
      </c>
      <c r="H20" s="2" t="s">
        <v>20</v>
      </c>
      <c r="I20" s="2" t="s">
        <v>10</v>
      </c>
      <c r="J20" s="2" t="s">
        <v>10</v>
      </c>
      <c r="K20" s="2" t="s">
        <v>10</v>
      </c>
      <c r="L20" s="2" t="s">
        <v>10</v>
      </c>
      <c r="M20" s="2" t="s">
        <v>10</v>
      </c>
    </row>
    <row r="21" spans="1:13" hidden="1" x14ac:dyDescent="0.35">
      <c r="A21" s="1">
        <v>45015.458333333336</v>
      </c>
      <c r="B21" s="1">
        <v>45015.5</v>
      </c>
      <c r="C21">
        <v>10</v>
      </c>
      <c r="D21" t="s">
        <v>136</v>
      </c>
      <c r="E21" t="str">
        <f>VLOOKUP(flavio_2023_mar_events[[#This Row],[filter]],Filtros,2,0)</f>
        <v>Cliente</v>
      </c>
      <c r="F21" t="str" cm="1">
        <f t="array" ref="F21">IF(flavio_2023_mar_events[[#This Row],[filter]]="C",LocalizarCliente(flavio_2023_mar_events[[#This Row],[end_date]]),"--")</f>
        <v>[Open] Tribo</v>
      </c>
      <c r="G21" s="5">
        <f>flavio_2023_mar_events[[#This Row],[calendar_owner_email]]-flavio_2023_mar_events[[#This Row],[calendar_owner_name]]</f>
        <v>4.1666666664241347E-2</v>
      </c>
      <c r="H21" s="2" t="s">
        <v>20</v>
      </c>
      <c r="I21" s="2" t="s">
        <v>10</v>
      </c>
      <c r="J21" s="2" t="s">
        <v>10</v>
      </c>
      <c r="K21" s="2" t="s">
        <v>10</v>
      </c>
      <c r="L21" s="2" t="s">
        <v>10</v>
      </c>
      <c r="M21" s="2" t="s">
        <v>10</v>
      </c>
    </row>
    <row r="22" spans="1:13" hidden="1" x14ac:dyDescent="0.35">
      <c r="A22" s="1">
        <v>44987.708333333336</v>
      </c>
      <c r="B22" s="1">
        <v>44987.770833333336</v>
      </c>
      <c r="C22">
        <v>15</v>
      </c>
      <c r="D22" t="s">
        <v>134</v>
      </c>
      <c r="E22" t="str">
        <f>VLOOKUP(flavio_2023_mar_events[[#This Row],[filter]],Filtros,2,0)</f>
        <v>Open Banking</v>
      </c>
      <c r="F22" t="str" cm="1">
        <f t="array" ref="F22">IF(flavio_2023_mar_events[[#This Row],[filter]]="C",LocalizarCliente(flavio_2023_mar_events[[#This Row],[end_date]]),"--")</f>
        <v>--</v>
      </c>
      <c r="G22" s="5">
        <f>flavio_2023_mar_events[[#This Row],[calendar_owner_email]]-flavio_2023_mar_events[[#This Row],[calendar_owner_name]]</f>
        <v>6.25E-2</v>
      </c>
      <c r="H22" s="2" t="s">
        <v>24</v>
      </c>
      <c r="I22" s="2" t="s">
        <v>10</v>
      </c>
      <c r="J22" s="2" t="s">
        <v>10</v>
      </c>
      <c r="K22" s="2" t="s">
        <v>10</v>
      </c>
      <c r="L22" s="2" t="s">
        <v>10</v>
      </c>
      <c r="M22" s="2" t="s">
        <v>10</v>
      </c>
    </row>
    <row r="23" spans="1:13" hidden="1" x14ac:dyDescent="0.35">
      <c r="A23" s="1">
        <v>44986.479166666664</v>
      </c>
      <c r="B23" s="1">
        <v>44986.5</v>
      </c>
      <c r="C23">
        <v>5</v>
      </c>
      <c r="D23" t="s">
        <v>136</v>
      </c>
      <c r="E23" t="str">
        <f>VLOOKUP(flavio_2023_mar_events[[#This Row],[filter]],Filtros,2,0)</f>
        <v>Cliente</v>
      </c>
      <c r="F23" t="str" cm="1">
        <f t="array" ref="F23">IF(flavio_2023_mar_events[[#This Row],[filter]]="C",LocalizarCliente(flavio_2023_mar_events[[#This Row],[end_date]]),"--")</f>
        <v>[PAGSEGURO] Recorrencia semanal.</v>
      </c>
      <c r="G23" s="5">
        <f>flavio_2023_mar_events[[#This Row],[calendar_owner_email]]-flavio_2023_mar_events[[#This Row],[calendar_owner_name]]</f>
        <v>2.0833333335758653E-2</v>
      </c>
      <c r="H23" s="2" t="s">
        <v>14</v>
      </c>
      <c r="I23" s="2" t="s">
        <v>10</v>
      </c>
      <c r="J23" s="2" t="s">
        <v>10</v>
      </c>
      <c r="K23" s="2" t="s">
        <v>10</v>
      </c>
      <c r="L23" s="2" t="s">
        <v>10</v>
      </c>
      <c r="M23" s="2" t="s">
        <v>10</v>
      </c>
    </row>
    <row r="24" spans="1:13" hidden="1" x14ac:dyDescent="0.35">
      <c r="A24" s="1">
        <v>44993.479166666664</v>
      </c>
      <c r="B24" s="1">
        <v>44993.5</v>
      </c>
      <c r="C24">
        <v>5</v>
      </c>
      <c r="D24" t="s">
        <v>136</v>
      </c>
      <c r="E24" t="str">
        <f>VLOOKUP(flavio_2023_mar_events[[#This Row],[filter]],Filtros,2,0)</f>
        <v>Cliente</v>
      </c>
      <c r="F24" t="str" cm="1">
        <f t="array" ref="F24">IF(flavio_2023_mar_events[[#This Row],[filter]]="C",LocalizarCliente(flavio_2023_mar_events[[#This Row],[end_date]]),"--")</f>
        <v>[PAGSEGURO] Recorrencia semanal.</v>
      </c>
      <c r="G24" s="5">
        <f>flavio_2023_mar_events[[#This Row],[calendar_owner_email]]-flavio_2023_mar_events[[#This Row],[calendar_owner_name]]</f>
        <v>2.0833333335758653E-2</v>
      </c>
      <c r="H24" s="2" t="s">
        <v>14</v>
      </c>
      <c r="I24" s="2" t="s">
        <v>10</v>
      </c>
      <c r="J24" s="2" t="s">
        <v>10</v>
      </c>
      <c r="K24" s="2" t="s">
        <v>10</v>
      </c>
      <c r="L24" s="2" t="s">
        <v>10</v>
      </c>
      <c r="M24" s="2" t="s">
        <v>10</v>
      </c>
    </row>
    <row r="25" spans="1:13" hidden="1" x14ac:dyDescent="0.35">
      <c r="A25" s="1">
        <v>45002.625</v>
      </c>
      <c r="B25" s="1">
        <v>45002.645833333336</v>
      </c>
      <c r="C25">
        <v>5</v>
      </c>
      <c r="D25" t="s">
        <v>136</v>
      </c>
      <c r="E25" t="str">
        <f>VLOOKUP(flavio_2023_mar_events[[#This Row],[filter]],Filtros,2,0)</f>
        <v>Cliente</v>
      </c>
      <c r="F25" t="str" cm="1">
        <f t="array" ref="F25">IF(flavio_2023_mar_events[[#This Row],[filter]]="C",LocalizarCliente(flavio_2023_mar_events[[#This Row],[end_date]]),"--")</f>
        <v>[PAGSEGURO] Recorrencia semanal.</v>
      </c>
      <c r="G25" s="5">
        <f>flavio_2023_mar_events[[#This Row],[calendar_owner_email]]-flavio_2023_mar_events[[#This Row],[calendar_owner_name]]</f>
        <v>2.0833333335758653E-2</v>
      </c>
      <c r="H25" s="2" t="s">
        <v>14</v>
      </c>
      <c r="I25" s="2" t="s">
        <v>10</v>
      </c>
      <c r="J25" s="2" t="s">
        <v>10</v>
      </c>
      <c r="K25" s="2" t="s">
        <v>10</v>
      </c>
      <c r="L25" s="2" t="s">
        <v>10</v>
      </c>
      <c r="M25" s="2" t="s">
        <v>10</v>
      </c>
    </row>
    <row r="26" spans="1:13" hidden="1" x14ac:dyDescent="0.35">
      <c r="A26" s="1">
        <v>45007.479166666664</v>
      </c>
      <c r="B26" s="1">
        <v>45007.5</v>
      </c>
      <c r="C26">
        <v>5</v>
      </c>
      <c r="D26">
        <v>0</v>
      </c>
      <c r="E26" t="str">
        <f>VLOOKUP(flavio_2023_mar_events[[#This Row],[filter]],Filtros,2,0)</f>
        <v>Nulo</v>
      </c>
      <c r="F26" t="str" cm="1">
        <f t="array" ref="F26">IF(flavio_2023_mar_events[[#This Row],[filter]]="C",LocalizarCliente(flavio_2023_mar_events[[#This Row],[end_date]]),"--")</f>
        <v>--</v>
      </c>
      <c r="G26" s="5">
        <f>flavio_2023_mar_events[[#This Row],[calendar_owner_email]]-flavio_2023_mar_events[[#This Row],[calendar_owner_name]]</f>
        <v>2.0833333335758653E-2</v>
      </c>
      <c r="H26" s="2" t="s">
        <v>14</v>
      </c>
      <c r="I26" s="2" t="s">
        <v>10</v>
      </c>
      <c r="J26" s="2" t="s">
        <v>10</v>
      </c>
      <c r="K26" s="2" t="s">
        <v>10</v>
      </c>
      <c r="L26" s="2" t="s">
        <v>10</v>
      </c>
      <c r="M26" s="2" t="s">
        <v>10</v>
      </c>
    </row>
    <row r="27" spans="1:13" hidden="1" x14ac:dyDescent="0.35">
      <c r="A27" s="1">
        <v>45014.479166666664</v>
      </c>
      <c r="B27" s="1">
        <v>45014.5</v>
      </c>
      <c r="C27">
        <v>5</v>
      </c>
      <c r="D27" t="s">
        <v>141</v>
      </c>
      <c r="E27" t="str">
        <f>VLOOKUP(flavio_2023_mar_events[[#This Row],[filter]],Filtros,2,0)</f>
        <v>Solutions</v>
      </c>
      <c r="F27" t="str" cm="1">
        <f t="array" ref="F27">IF(flavio_2023_mar_events[[#This Row],[filter]]="C",LocalizarCliente(flavio_2023_mar_events[[#This Row],[end_date]]),"--")</f>
        <v>--</v>
      </c>
      <c r="G27" s="5">
        <f>flavio_2023_mar_events[[#This Row],[calendar_owner_email]]-flavio_2023_mar_events[[#This Row],[calendar_owner_name]]</f>
        <v>2.0833333335758653E-2</v>
      </c>
      <c r="H27" s="2" t="s">
        <v>14</v>
      </c>
      <c r="I27" s="2" t="s">
        <v>10</v>
      </c>
      <c r="J27" s="2" t="s">
        <v>10</v>
      </c>
      <c r="K27" s="2" t="s">
        <v>10</v>
      </c>
      <c r="L27" s="2" t="s">
        <v>10</v>
      </c>
      <c r="M27" s="2" t="s">
        <v>10</v>
      </c>
    </row>
    <row r="28" spans="1:13" hidden="1" x14ac:dyDescent="0.35">
      <c r="A28" s="1">
        <v>45000.416666666664</v>
      </c>
      <c r="B28" s="1">
        <v>45000.458333333336</v>
      </c>
      <c r="C28">
        <v>10</v>
      </c>
      <c r="D28">
        <v>0</v>
      </c>
      <c r="E28" t="str">
        <f>VLOOKUP(flavio_2023_mar_events[[#This Row],[filter]],Filtros,2,0)</f>
        <v>Nulo</v>
      </c>
      <c r="F28" t="str" cm="1">
        <f t="array" ref="F28">IF(flavio_2023_mar_events[[#This Row],[filter]]="C",LocalizarCliente(flavio_2023_mar_events[[#This Row],[end_date]]),"--")</f>
        <v>--</v>
      </c>
      <c r="G28" s="5">
        <f>flavio_2023_mar_events[[#This Row],[calendar_owner_email]]-flavio_2023_mar_events[[#This Row],[calendar_owner_name]]</f>
        <v>4.1666666671517305E-2</v>
      </c>
      <c r="H28" s="2" t="s">
        <v>75</v>
      </c>
      <c r="I28" s="2" t="s">
        <v>10</v>
      </c>
      <c r="J28" s="2" t="s">
        <v>10</v>
      </c>
      <c r="K28" s="2" t="s">
        <v>10</v>
      </c>
      <c r="L28" s="2" t="s">
        <v>10</v>
      </c>
      <c r="M28" s="2" t="s">
        <v>10</v>
      </c>
    </row>
    <row r="29" spans="1:13" hidden="1" x14ac:dyDescent="0.35">
      <c r="A29" s="1">
        <v>44999.708333333336</v>
      </c>
      <c r="B29" s="1">
        <v>44999.75</v>
      </c>
      <c r="C29">
        <v>10</v>
      </c>
      <c r="D29">
        <v>0</v>
      </c>
      <c r="E29" t="str">
        <f>VLOOKUP(flavio_2023_mar_events[[#This Row],[filter]],Filtros,2,0)</f>
        <v>Nulo</v>
      </c>
      <c r="F29" t="str" cm="1">
        <f t="array" ref="F29">IF(flavio_2023_mar_events[[#This Row],[filter]]="C",LocalizarCliente(flavio_2023_mar_events[[#This Row],[end_date]]),"--")</f>
        <v>--</v>
      </c>
      <c r="G29" s="5">
        <f>flavio_2023_mar_events[[#This Row],[calendar_owner_email]]-flavio_2023_mar_events[[#This Row],[calendar_owner_name]]</f>
        <v>4.1666666664241347E-2</v>
      </c>
      <c r="H29" s="2" t="s">
        <v>73</v>
      </c>
      <c r="I29" s="2" t="s">
        <v>10</v>
      </c>
      <c r="J29" s="2" t="s">
        <v>10</v>
      </c>
      <c r="K29" s="2" t="s">
        <v>10</v>
      </c>
      <c r="L29" s="2" t="s">
        <v>10</v>
      </c>
      <c r="M29" s="2" t="s">
        <v>10</v>
      </c>
    </row>
    <row r="30" spans="1:13" hidden="1" x14ac:dyDescent="0.35">
      <c r="A30" s="1">
        <v>45005.5625</v>
      </c>
      <c r="B30" s="1">
        <v>45005.59375</v>
      </c>
      <c r="C30">
        <v>75</v>
      </c>
      <c r="D30" t="s">
        <v>134</v>
      </c>
      <c r="E30" t="str">
        <f>VLOOKUP(flavio_2023_mar_events[[#This Row],[filter]],Filtros,2,0)</f>
        <v>Open Banking</v>
      </c>
      <c r="F30" t="str" cm="1">
        <f t="array" ref="F30">IF(flavio_2023_mar_events[[#This Row],[filter]]="C",LocalizarCliente(flavio_2023_mar_events[[#This Row],[end_date]]),"--")</f>
        <v>--</v>
      </c>
      <c r="G30" s="5">
        <f>flavio_2023_mar_events[[#This Row],[calendar_owner_email]]-flavio_2023_mar_events[[#This Row],[calendar_owner_name]]</f>
        <v>3.125E-2</v>
      </c>
      <c r="H30" s="2" t="s">
        <v>90</v>
      </c>
      <c r="I30" s="2" t="s">
        <v>10</v>
      </c>
      <c r="J30" s="2" t="s">
        <v>10</v>
      </c>
      <c r="K30" s="2" t="s">
        <v>10</v>
      </c>
      <c r="L30" s="2" t="s">
        <v>10</v>
      </c>
      <c r="M30" s="2" t="s">
        <v>10</v>
      </c>
    </row>
    <row r="31" spans="1:13" x14ac:dyDescent="0.35">
      <c r="A31" s="1">
        <v>45009.416666666664</v>
      </c>
      <c r="B31" s="1">
        <v>45009.458333333336</v>
      </c>
      <c r="C31">
        <v>10</v>
      </c>
      <c r="D31" t="s">
        <v>135</v>
      </c>
      <c r="E31" t="str">
        <f>VLOOKUP(flavio_2023_mar_events[[#This Row],[filter]],Filtros,2,0)</f>
        <v>Education</v>
      </c>
      <c r="F31" t="str" cm="1">
        <f t="array" ref="F31">IF(flavio_2023_mar_events[[#This Row],[filter]]="C",LocalizarCliente(flavio_2023_mar_events[[#This Row],[end_date]]),"--")</f>
        <v>--</v>
      </c>
      <c r="G31" s="5">
        <f>flavio_2023_mar_events[[#This Row],[calendar_owner_email]]-flavio_2023_mar_events[[#This Row],[calendar_owner_name]]</f>
        <v>4.1666666671517305E-2</v>
      </c>
      <c r="H31" s="2" t="s">
        <v>106</v>
      </c>
      <c r="I31" s="2" t="s">
        <v>10</v>
      </c>
      <c r="J31" s="2" t="s">
        <v>10</v>
      </c>
      <c r="K31" s="2" t="s">
        <v>10</v>
      </c>
      <c r="L31" s="2" t="s">
        <v>10</v>
      </c>
      <c r="M31" s="2" t="s">
        <v>10</v>
      </c>
    </row>
    <row r="32" spans="1:13" hidden="1" x14ac:dyDescent="0.35">
      <c r="A32" s="1">
        <v>44986.604166666664</v>
      </c>
      <c r="B32" s="1">
        <v>44986.666666666664</v>
      </c>
      <c r="C32">
        <v>15</v>
      </c>
      <c r="D32" t="s">
        <v>136</v>
      </c>
      <c r="E32" t="str">
        <f>VLOOKUP(flavio_2023_mar_events[[#This Row],[filter]],Filtros,2,0)</f>
        <v>Cliente</v>
      </c>
      <c r="F32" t="str" cm="1">
        <f t="array" ref="F32">IF(flavio_2023_mar_events[[#This Row],[filter]]="C",LocalizarCliente(flavio_2023_mar_events[[#This Row],[end_date]]),"--")</f>
        <v>[RESERVA] RFP SUSEP</v>
      </c>
      <c r="G32" s="5">
        <f>flavio_2023_mar_events[[#This Row],[calendar_owner_email]]-flavio_2023_mar_events[[#This Row],[calendar_owner_name]]</f>
        <v>6.25E-2</v>
      </c>
      <c r="H32" s="2" t="s">
        <v>16</v>
      </c>
      <c r="I32" s="2" t="s">
        <v>10</v>
      </c>
      <c r="J32" s="2" t="s">
        <v>10</v>
      </c>
      <c r="K32" s="2" t="s">
        <v>10</v>
      </c>
      <c r="L32" s="2" t="s">
        <v>10</v>
      </c>
      <c r="M32" s="2" t="s">
        <v>10</v>
      </c>
    </row>
    <row r="33" spans="1:13" hidden="1" x14ac:dyDescent="0.35">
      <c r="A33" s="1">
        <v>44992.395833333336</v>
      </c>
      <c r="B33" s="1">
        <v>44992.416666666664</v>
      </c>
      <c r="C33">
        <v>5</v>
      </c>
      <c r="D33" t="s">
        <v>136</v>
      </c>
      <c r="E33" t="str">
        <f>VLOOKUP(flavio_2023_mar_events[[#This Row],[filter]],Filtros,2,0)</f>
        <v>Cliente</v>
      </c>
      <c r="F33" t="str" cm="1">
        <f t="array" ref="F33">IF(flavio_2023_mar_events[[#This Row],[filter]]="C",LocalizarCliente(flavio_2023_mar_events[[#This Row],[end_date]]),"--")</f>
        <v>[Sheila + Denise + Thiago]</v>
      </c>
      <c r="G33" s="5">
        <f>flavio_2023_mar_events[[#This Row],[calendar_owner_email]]-flavio_2023_mar_events[[#This Row],[calendar_owner_name]]</f>
        <v>2.0833333328482695E-2</v>
      </c>
      <c r="H33" s="2" t="s">
        <v>40</v>
      </c>
      <c r="I33" s="2" t="s">
        <v>10</v>
      </c>
      <c r="J33" s="2" t="s">
        <v>10</v>
      </c>
      <c r="K33" s="2" t="s">
        <v>10</v>
      </c>
      <c r="L33" s="2" t="s">
        <v>10</v>
      </c>
      <c r="M33" s="2" t="s">
        <v>10</v>
      </c>
    </row>
    <row r="34" spans="1:13" hidden="1" x14ac:dyDescent="0.35">
      <c r="A34" s="1">
        <v>44999.395833333336</v>
      </c>
      <c r="B34" s="1">
        <v>44999.416666666664</v>
      </c>
      <c r="C34">
        <v>5</v>
      </c>
      <c r="D34" t="s">
        <v>141</v>
      </c>
      <c r="E34" t="str">
        <f>VLOOKUP(flavio_2023_mar_events[[#This Row],[filter]],Filtros,2,0)</f>
        <v>Solutions</v>
      </c>
      <c r="F34" t="str" cm="1">
        <f t="array" ref="F34">IF(flavio_2023_mar_events[[#This Row],[filter]]="C",LocalizarCliente(flavio_2023_mar_events[[#This Row],[end_date]]),"--")</f>
        <v>--</v>
      </c>
      <c r="G34" s="5">
        <f>flavio_2023_mar_events[[#This Row],[calendar_owner_email]]-flavio_2023_mar_events[[#This Row],[calendar_owner_name]]</f>
        <v>2.0833333328482695E-2</v>
      </c>
      <c r="H34" s="2" t="s">
        <v>40</v>
      </c>
      <c r="I34" s="2" t="s">
        <v>10</v>
      </c>
      <c r="J34" s="2" t="s">
        <v>10</v>
      </c>
      <c r="K34" s="2" t="s">
        <v>10</v>
      </c>
      <c r="L34" s="2" t="s">
        <v>10</v>
      </c>
      <c r="M34" s="2" t="s">
        <v>10</v>
      </c>
    </row>
    <row r="35" spans="1:13" hidden="1" x14ac:dyDescent="0.35">
      <c r="A35" s="1">
        <v>45006.395833333336</v>
      </c>
      <c r="B35" s="1">
        <v>45006.416666666664</v>
      </c>
      <c r="C35">
        <v>5</v>
      </c>
      <c r="D35">
        <v>0</v>
      </c>
      <c r="E35" t="str">
        <f>VLOOKUP(flavio_2023_mar_events[[#This Row],[filter]],Filtros,2,0)</f>
        <v>Nulo</v>
      </c>
      <c r="F35" t="str" cm="1">
        <f t="array" ref="F35">IF(flavio_2023_mar_events[[#This Row],[filter]]="C",LocalizarCliente(flavio_2023_mar_events[[#This Row],[end_date]]),"--")</f>
        <v>--</v>
      </c>
      <c r="G35" s="5">
        <f>flavio_2023_mar_events[[#This Row],[calendar_owner_email]]-flavio_2023_mar_events[[#This Row],[calendar_owner_name]]</f>
        <v>2.0833333328482695E-2</v>
      </c>
      <c r="H35" s="2" t="s">
        <v>40</v>
      </c>
      <c r="I35" s="2" t="s">
        <v>10</v>
      </c>
      <c r="J35" s="2" t="s">
        <v>10</v>
      </c>
      <c r="K35" s="2" t="s">
        <v>10</v>
      </c>
      <c r="L35" s="2" t="s">
        <v>10</v>
      </c>
      <c r="M35" s="2" t="s">
        <v>10</v>
      </c>
    </row>
    <row r="36" spans="1:13" hidden="1" x14ac:dyDescent="0.35">
      <c r="A36" s="1">
        <v>45013.395833333336</v>
      </c>
      <c r="B36" s="1">
        <v>45013.416666666664</v>
      </c>
      <c r="C36">
        <v>5</v>
      </c>
      <c r="D36" t="s">
        <v>136</v>
      </c>
      <c r="E36" t="str">
        <f>VLOOKUP(flavio_2023_mar_events[[#This Row],[filter]],Filtros,2,0)</f>
        <v>Cliente</v>
      </c>
      <c r="F36" t="str" cm="1">
        <f t="array" ref="F36">IF(flavio_2023_mar_events[[#This Row],[filter]]="C",LocalizarCliente(flavio_2023_mar_events[[#This Row],[end_date]]),"--")</f>
        <v>[Sheila + Denise + Thiago]</v>
      </c>
      <c r="G36" s="5">
        <f>flavio_2023_mar_events[[#This Row],[calendar_owner_email]]-flavio_2023_mar_events[[#This Row],[calendar_owner_name]]</f>
        <v>2.0833333328482695E-2</v>
      </c>
      <c r="H36" s="2" t="s">
        <v>40</v>
      </c>
      <c r="I36" s="2" t="s">
        <v>10</v>
      </c>
      <c r="J36" s="2" t="s">
        <v>10</v>
      </c>
      <c r="K36" s="2" t="s">
        <v>10</v>
      </c>
      <c r="L36" s="2" t="s">
        <v>10</v>
      </c>
      <c r="M36" s="2" t="s">
        <v>10</v>
      </c>
    </row>
    <row r="37" spans="1:13" hidden="1" x14ac:dyDescent="0.35">
      <c r="A37" s="1">
        <v>45006.333333333336</v>
      </c>
      <c r="B37" s="1">
        <v>45006.364583333336</v>
      </c>
      <c r="C37">
        <v>75</v>
      </c>
      <c r="D37">
        <v>0</v>
      </c>
      <c r="E37" t="str">
        <f>VLOOKUP(flavio_2023_mar_events[[#This Row],[filter]],Filtros,2,0)</f>
        <v>Nulo</v>
      </c>
      <c r="F37" t="str" cm="1">
        <f t="array" ref="F37">IF(flavio_2023_mar_events[[#This Row],[filter]]="C",LocalizarCliente(flavio_2023_mar_events[[#This Row],[end_date]]),"--")</f>
        <v>--</v>
      </c>
      <c r="G37" s="5">
        <f>flavio_2023_mar_events[[#This Row],[calendar_owner_email]]-flavio_2023_mar_events[[#This Row],[calendar_owner_name]]</f>
        <v>3.125E-2</v>
      </c>
      <c r="H37" s="2" t="s">
        <v>93</v>
      </c>
      <c r="I37" s="2" t="s">
        <v>10</v>
      </c>
      <c r="J37" s="2" t="s">
        <v>10</v>
      </c>
      <c r="K37" s="2" t="s">
        <v>10</v>
      </c>
      <c r="L37" s="2" t="s">
        <v>10</v>
      </c>
      <c r="M37" s="2" t="s">
        <v>10</v>
      </c>
    </row>
    <row r="38" spans="1:13" hidden="1" x14ac:dyDescent="0.35">
      <c r="A38" s="1">
        <v>44991.458333333336</v>
      </c>
      <c r="B38" s="1">
        <v>44991.493055555555</v>
      </c>
      <c r="C38">
        <v>8333333333333334</v>
      </c>
      <c r="D38" t="s">
        <v>136</v>
      </c>
      <c r="E38" t="str">
        <f>VLOOKUP(flavio_2023_mar_events[[#This Row],[filter]],Filtros,2,0)</f>
        <v>Cliente</v>
      </c>
      <c r="F38" t="str" cm="1">
        <f t="array" ref="F38">IF(flavio_2023_mar_events[[#This Row],[filter]]="C",LocalizarCliente(flavio_2023_mar_events[[#This Row],[end_date]]),"--")</f>
        <v>[Stone]</v>
      </c>
      <c r="G38" s="5">
        <f>flavio_2023_mar_events[[#This Row],[calendar_owner_email]]-flavio_2023_mar_events[[#This Row],[calendar_owner_name]]</f>
        <v>3.4722222218988463E-2</v>
      </c>
      <c r="H38" s="2" t="s">
        <v>34</v>
      </c>
      <c r="I38" s="2" t="s">
        <v>10</v>
      </c>
      <c r="J38" s="2" t="s">
        <v>10</v>
      </c>
      <c r="K38" s="2" t="s">
        <v>10</v>
      </c>
      <c r="L38" s="2" t="s">
        <v>10</v>
      </c>
      <c r="M38" s="2" t="s">
        <v>10</v>
      </c>
    </row>
    <row r="39" spans="1:13" hidden="1" x14ac:dyDescent="0.35">
      <c r="A39" s="1">
        <v>44991.583333333336</v>
      </c>
      <c r="B39" s="1">
        <v>44991.625</v>
      </c>
      <c r="C39">
        <v>10</v>
      </c>
      <c r="D39" t="s">
        <v>143</v>
      </c>
      <c r="E39" t="str">
        <f>VLOOKUP(flavio_2023_mar_events[[#This Row],[filter]],Filtros,2,0)</f>
        <v>BizDevs</v>
      </c>
      <c r="F39" t="str" cm="1">
        <f t="array" ref="F39">IF(flavio_2023_mar_events[[#This Row],[filter]]="C",LocalizarCliente(flavio_2023_mar_events[[#This Row],[end_date]]),"--")</f>
        <v>--</v>
      </c>
      <c r="G39" s="5">
        <f>flavio_2023_mar_events[[#This Row],[calendar_owner_email]]-flavio_2023_mar_events[[#This Row],[calendar_owner_name]]</f>
        <v>4.1666666664241347E-2</v>
      </c>
      <c r="H39" s="2" t="s">
        <v>36</v>
      </c>
      <c r="I39" s="2" t="s">
        <v>10</v>
      </c>
      <c r="J39" s="2" t="s">
        <v>10</v>
      </c>
      <c r="K39" s="2" t="s">
        <v>10</v>
      </c>
      <c r="L39" s="2" t="s">
        <v>10</v>
      </c>
      <c r="M39" s="2" t="s">
        <v>10</v>
      </c>
    </row>
    <row r="40" spans="1:13" hidden="1" x14ac:dyDescent="0.35">
      <c r="A40" s="1">
        <v>44986.708333333336</v>
      </c>
      <c r="B40" s="1">
        <v>44986.729166666664</v>
      </c>
      <c r="C40">
        <v>5</v>
      </c>
      <c r="D40" t="s">
        <v>141</v>
      </c>
      <c r="E40" t="str">
        <f>VLOOKUP(flavio_2023_mar_events[[#This Row],[filter]],Filtros,2,0)</f>
        <v>Solutions</v>
      </c>
      <c r="F40" t="str" cm="1">
        <f t="array" ref="F40">IF(flavio_2023_mar_events[[#This Row],[filter]]="C",LocalizarCliente(flavio_2023_mar_events[[#This Row],[end_date]]),"--")</f>
        <v>--</v>
      </c>
      <c r="G40" s="5">
        <f>flavio_2023_mar_events[[#This Row],[calendar_owner_email]]-flavio_2023_mar_events[[#This Row],[calendar_owner_name]]</f>
        <v>2.0833333328482695E-2</v>
      </c>
      <c r="H40" s="2" t="s">
        <v>18</v>
      </c>
      <c r="I40" s="2" t="s">
        <v>10</v>
      </c>
      <c r="J40" s="2" t="s">
        <v>10</v>
      </c>
      <c r="K40" s="2" t="s">
        <v>10</v>
      </c>
      <c r="L40" s="2" t="s">
        <v>10</v>
      </c>
      <c r="M40" s="2" t="s">
        <v>10</v>
      </c>
    </row>
    <row r="41" spans="1:13" hidden="1" x14ac:dyDescent="0.35">
      <c r="A41" s="1">
        <v>45014.666666666664</v>
      </c>
      <c r="B41" s="1">
        <v>45014.6875</v>
      </c>
      <c r="C41">
        <v>5</v>
      </c>
      <c r="D41" t="s">
        <v>136</v>
      </c>
      <c r="E41" t="str">
        <f>VLOOKUP(flavio_2023_mar_events[[#This Row],[filter]],Filtros,2,0)</f>
        <v>Cliente</v>
      </c>
      <c r="F41" t="str" cm="1">
        <f t="array" ref="F41">IF(flavio_2023_mar_events[[#This Row],[filter]]="C",LocalizarCliente(flavio_2023_mar_events[[#This Row],[end_date]]),"--")</f>
        <v>[Travelex</v>
      </c>
      <c r="G41" s="5">
        <f>flavio_2023_mar_events[[#This Row],[calendar_owner_email]]-flavio_2023_mar_events[[#This Row],[calendar_owner_name]]</f>
        <v>2.0833333335758653E-2</v>
      </c>
      <c r="H41" s="2" t="s">
        <v>120</v>
      </c>
      <c r="I41" s="2" t="s">
        <v>10</v>
      </c>
      <c r="J41" s="2" t="s">
        <v>10</v>
      </c>
      <c r="K41" s="2" t="s">
        <v>10</v>
      </c>
      <c r="L41" s="2" t="s">
        <v>10</v>
      </c>
      <c r="M41" s="2" t="s">
        <v>10</v>
      </c>
    </row>
    <row r="42" spans="1:13" hidden="1" x14ac:dyDescent="0.35">
      <c r="A42" s="1">
        <v>44998.541666666664</v>
      </c>
      <c r="B42" s="1">
        <v>44998.576388888891</v>
      </c>
      <c r="C42">
        <v>8333333333333334</v>
      </c>
      <c r="D42" t="s">
        <v>141</v>
      </c>
      <c r="E42" t="str">
        <f>VLOOKUP(flavio_2023_mar_events[[#This Row],[filter]],Filtros,2,0)</f>
        <v>Solutions</v>
      </c>
      <c r="F42" t="str" cm="1">
        <f t="array" ref="F42">IF(flavio_2023_mar_events[[#This Row],[filter]]="C",LocalizarCliente(flavio_2023_mar_events[[#This Row],[end_date]]),"--")</f>
        <v>--</v>
      </c>
      <c r="G42" s="5">
        <f>flavio_2023_mar_events[[#This Row],[calendar_owner_email]]-flavio_2023_mar_events[[#This Row],[calendar_owner_name]]</f>
        <v>3.4722222226264421E-2</v>
      </c>
      <c r="H42" s="2" t="s">
        <v>63</v>
      </c>
      <c r="I42" s="2" t="s">
        <v>10</v>
      </c>
      <c r="J42" s="2" t="s">
        <v>10</v>
      </c>
      <c r="K42" s="2" t="s">
        <v>10</v>
      </c>
      <c r="L42" s="2" t="s">
        <v>10</v>
      </c>
      <c r="M42" s="2" t="s">
        <v>10</v>
      </c>
    </row>
    <row r="43" spans="1:13" hidden="1" x14ac:dyDescent="0.35">
      <c r="A43" s="1">
        <v>44995.625</v>
      </c>
      <c r="B43" s="1">
        <v>44995.666666666664</v>
      </c>
      <c r="C43">
        <v>10</v>
      </c>
      <c r="D43" t="s">
        <v>136</v>
      </c>
      <c r="E43" t="str">
        <f>VLOOKUP(flavio_2023_mar_events[[#This Row],[filter]],Filtros,2,0)</f>
        <v>Cliente</v>
      </c>
      <c r="F43" t="str" cm="1">
        <f t="array" ref="F43">IF(flavio_2023_mar_events[[#This Row],[filter]]="C",LocalizarCliente(flavio_2023_mar_events[[#This Row],[end_date]]),"--")</f>
        <v>[Weekly Técnico Pré</v>
      </c>
      <c r="G43" s="5">
        <f>flavio_2023_mar_events[[#This Row],[calendar_owner_email]]-flavio_2023_mar_events[[#This Row],[calendar_owner_name]]</f>
        <v>4.1666666664241347E-2</v>
      </c>
      <c r="H43" s="2" t="s">
        <v>58</v>
      </c>
      <c r="I43" s="2" t="s">
        <v>10</v>
      </c>
      <c r="J43" s="2" t="s">
        <v>10</v>
      </c>
      <c r="K43" s="2" t="s">
        <v>10</v>
      </c>
      <c r="L43" s="2" t="s">
        <v>10</v>
      </c>
      <c r="M43" s="2" t="s">
        <v>10</v>
      </c>
    </row>
    <row r="44" spans="1:13" hidden="1" x14ac:dyDescent="0.35">
      <c r="A44" s="1">
        <v>45009.625</v>
      </c>
      <c r="B44" s="1">
        <v>45009.666666666664</v>
      </c>
      <c r="C44">
        <v>10</v>
      </c>
      <c r="D44">
        <v>0</v>
      </c>
      <c r="E44" t="str">
        <f>VLOOKUP(flavio_2023_mar_events[[#This Row],[filter]],Filtros,2,0)</f>
        <v>Nulo</v>
      </c>
      <c r="F44" t="str" cm="1">
        <f t="array" ref="F44">IF(flavio_2023_mar_events[[#This Row],[filter]]="C",LocalizarCliente(flavio_2023_mar_events[[#This Row],[end_date]]),"--")</f>
        <v>--</v>
      </c>
      <c r="G44" s="5">
        <f>flavio_2023_mar_events[[#This Row],[calendar_owner_email]]-flavio_2023_mar_events[[#This Row],[calendar_owner_name]]</f>
        <v>4.1666666664241347E-2</v>
      </c>
      <c r="H44" s="2" t="s">
        <v>58</v>
      </c>
      <c r="I44" s="2" t="s">
        <v>10</v>
      </c>
      <c r="J44" s="2" t="s">
        <v>10</v>
      </c>
      <c r="K44" s="2" t="s">
        <v>10</v>
      </c>
      <c r="L44" s="2" t="s">
        <v>10</v>
      </c>
      <c r="M44" s="2" t="s">
        <v>10</v>
      </c>
    </row>
    <row r="45" spans="1:13" hidden="1" x14ac:dyDescent="0.35">
      <c r="A45" s="1">
        <v>44991.489583333336</v>
      </c>
      <c r="B45" s="1">
        <v>44991.5</v>
      </c>
      <c r="C45">
        <v>25</v>
      </c>
      <c r="D45" t="s">
        <v>136</v>
      </c>
      <c r="E45" t="str">
        <f>VLOOKUP(flavio_2023_mar_events[[#This Row],[filter]],Filtros,2,0)</f>
        <v>Cliente</v>
      </c>
      <c r="F45" t="str" cm="1">
        <f t="array" ref="F45">IF(flavio_2023_mar_events[[#This Row],[filter]]="C",LocalizarCliente(flavio_2023_mar_events[[#This Row],[end_date]]),"--")</f>
        <v>1:1 Weekly</v>
      </c>
      <c r="G45" s="5">
        <f>flavio_2023_mar_events[[#This Row],[calendar_owner_email]]-flavio_2023_mar_events[[#This Row],[calendar_owner_name]]</f>
        <v>1.0416666664241347E-2</v>
      </c>
      <c r="H45" s="2" t="s">
        <v>35</v>
      </c>
      <c r="I45" s="2" t="s">
        <v>10</v>
      </c>
      <c r="J45" s="2" t="s">
        <v>10</v>
      </c>
      <c r="K45" s="2" t="s">
        <v>10</v>
      </c>
      <c r="L45" s="2" t="s">
        <v>10</v>
      </c>
      <c r="M45" s="2" t="s">
        <v>10</v>
      </c>
    </row>
    <row r="46" spans="1:13" hidden="1" x14ac:dyDescent="0.35">
      <c r="A46" s="1">
        <v>44998.489583333336</v>
      </c>
      <c r="B46" s="1">
        <v>44998.5</v>
      </c>
      <c r="C46">
        <v>25</v>
      </c>
      <c r="D46" t="s">
        <v>141</v>
      </c>
      <c r="E46" t="str">
        <f>VLOOKUP(flavio_2023_mar_events[[#This Row],[filter]],Filtros,2,0)</f>
        <v>Solutions</v>
      </c>
      <c r="F46" t="str" cm="1">
        <f t="array" ref="F46">IF(flavio_2023_mar_events[[#This Row],[filter]]="C",LocalizarCliente(flavio_2023_mar_events[[#This Row],[end_date]]),"--")</f>
        <v>--</v>
      </c>
      <c r="G46" s="5">
        <f>flavio_2023_mar_events[[#This Row],[calendar_owner_email]]-flavio_2023_mar_events[[#This Row],[calendar_owner_name]]</f>
        <v>1.0416666664241347E-2</v>
      </c>
      <c r="H46" s="2" t="s">
        <v>35</v>
      </c>
      <c r="I46" s="2" t="s">
        <v>10</v>
      </c>
      <c r="J46" s="2" t="s">
        <v>10</v>
      </c>
      <c r="K46" s="2" t="s">
        <v>10</v>
      </c>
      <c r="L46" s="2" t="s">
        <v>10</v>
      </c>
      <c r="M46" s="2" t="s">
        <v>10</v>
      </c>
    </row>
    <row r="47" spans="1:13" x14ac:dyDescent="0.35">
      <c r="A47" s="1">
        <v>45005.489583333336</v>
      </c>
      <c r="B47" s="1">
        <v>45005.5</v>
      </c>
      <c r="C47">
        <v>25</v>
      </c>
      <c r="D47" t="s">
        <v>135</v>
      </c>
      <c r="E47" t="str">
        <f>VLOOKUP(flavio_2023_mar_events[[#This Row],[filter]],Filtros,2,0)</f>
        <v>Education</v>
      </c>
      <c r="F47" t="str" cm="1">
        <f t="array" ref="F47">IF(flavio_2023_mar_events[[#This Row],[filter]]="C",LocalizarCliente(flavio_2023_mar_events[[#This Row],[end_date]]),"--")</f>
        <v>--</v>
      </c>
      <c r="G47" s="5">
        <f>flavio_2023_mar_events[[#This Row],[calendar_owner_email]]-flavio_2023_mar_events[[#This Row],[calendar_owner_name]]</f>
        <v>1.0416666664241347E-2</v>
      </c>
      <c r="H47" s="2" t="s">
        <v>35</v>
      </c>
      <c r="I47" s="2" t="s">
        <v>10</v>
      </c>
      <c r="J47" s="2" t="s">
        <v>10</v>
      </c>
      <c r="K47" s="2" t="s">
        <v>10</v>
      </c>
      <c r="L47" s="2" t="s">
        <v>10</v>
      </c>
      <c r="M47" s="2" t="s">
        <v>10</v>
      </c>
    </row>
    <row r="48" spans="1:13" hidden="1" x14ac:dyDescent="0.35">
      <c r="A48" s="1">
        <v>45012.489583333336</v>
      </c>
      <c r="B48" s="1">
        <v>45012.5</v>
      </c>
      <c r="C48">
        <v>25</v>
      </c>
      <c r="D48" t="s">
        <v>136</v>
      </c>
      <c r="E48" t="str">
        <f>VLOOKUP(flavio_2023_mar_events[[#This Row],[filter]],Filtros,2,0)</f>
        <v>Cliente</v>
      </c>
      <c r="F48" t="str" cm="1">
        <f t="array" ref="F48">IF(flavio_2023_mar_events[[#This Row],[filter]]="C",LocalizarCliente(flavio_2023_mar_events[[#This Row],[end_date]]),"--")</f>
        <v>1:1 Weekly</v>
      </c>
      <c r="G48" s="5">
        <f>flavio_2023_mar_events[[#This Row],[calendar_owner_email]]-flavio_2023_mar_events[[#This Row],[calendar_owner_name]]</f>
        <v>1.0416666664241347E-2</v>
      </c>
      <c r="H48" s="2" t="s">
        <v>35</v>
      </c>
      <c r="I48" s="2" t="s">
        <v>10</v>
      </c>
      <c r="J48" s="2" t="s">
        <v>10</v>
      </c>
      <c r="K48" s="2" t="s">
        <v>10</v>
      </c>
      <c r="L48" s="2" t="s">
        <v>10</v>
      </c>
      <c r="M48" s="2" t="s">
        <v>10</v>
      </c>
    </row>
    <row r="49" spans="1:13" hidden="1" x14ac:dyDescent="0.35">
      <c r="A49" s="1">
        <v>44988.416666666664</v>
      </c>
      <c r="B49" s="1">
        <v>44988.458333333336</v>
      </c>
      <c r="C49">
        <v>10</v>
      </c>
      <c r="D49" t="s">
        <v>134</v>
      </c>
      <c r="E49" t="str">
        <f>VLOOKUP(flavio_2023_mar_events[[#This Row],[filter]],Filtros,2,0)</f>
        <v>Open Banking</v>
      </c>
      <c r="F49" t="str" cm="1">
        <f t="array" ref="F49">IF(flavio_2023_mar_events[[#This Row],[filter]]="C",LocalizarCliente(flavio_2023_mar_events[[#This Row],[end_date]]),"--")</f>
        <v>--</v>
      </c>
      <c r="G49" s="5">
        <f>flavio_2023_mar_events[[#This Row],[calendar_owner_email]]-flavio_2023_mar_events[[#This Row],[calendar_owner_name]]</f>
        <v>4.1666666671517305E-2</v>
      </c>
      <c r="H49" s="2" t="s">
        <v>25</v>
      </c>
      <c r="I49" s="2" t="s">
        <v>10</v>
      </c>
      <c r="J49" s="2" t="s">
        <v>10</v>
      </c>
      <c r="K49" s="2" t="s">
        <v>10</v>
      </c>
      <c r="L49" s="2" t="s">
        <v>10</v>
      </c>
      <c r="M49" s="2" t="s">
        <v>10</v>
      </c>
    </row>
    <row r="50" spans="1:13" hidden="1" x14ac:dyDescent="0.35">
      <c r="A50" s="1">
        <v>45014.583333333336</v>
      </c>
      <c r="B50" s="1">
        <v>45014.604166666664</v>
      </c>
      <c r="C50">
        <v>5</v>
      </c>
      <c r="D50" t="s">
        <v>136</v>
      </c>
      <c r="E50" t="str">
        <f>VLOOKUP(flavio_2023_mar_events[[#This Row],[filter]],Filtros,2,0)</f>
        <v>Cliente</v>
      </c>
      <c r="F50" t="str" cm="1">
        <f t="array" ref="F50">IF(flavio_2023_mar_events[[#This Row],[filter]]="C",LocalizarCliente(flavio_2023_mar_events[[#This Row],[end_date]]),"--")</f>
        <v>Alinhamento</v>
      </c>
      <c r="G50" s="5">
        <f>flavio_2023_mar_events[[#This Row],[calendar_owner_email]]-flavio_2023_mar_events[[#This Row],[calendar_owner_name]]</f>
        <v>2.0833333328482695E-2</v>
      </c>
      <c r="H50" s="2" t="s">
        <v>118</v>
      </c>
      <c r="I50" s="2" t="s">
        <v>10</v>
      </c>
      <c r="J50" s="2" t="s">
        <v>10</v>
      </c>
      <c r="K50" s="2" t="s">
        <v>10</v>
      </c>
      <c r="L50" s="2" t="s">
        <v>10</v>
      </c>
      <c r="M50" s="2" t="s">
        <v>10</v>
      </c>
    </row>
    <row r="51" spans="1:13" hidden="1" x14ac:dyDescent="0.35">
      <c r="A51" s="1">
        <v>45002.645833333336</v>
      </c>
      <c r="B51" s="1">
        <v>45002.666666666664</v>
      </c>
      <c r="C51">
        <v>5</v>
      </c>
      <c r="D51" t="s">
        <v>136</v>
      </c>
      <c r="E51" t="str">
        <f>VLOOKUP(flavio_2023_mar_events[[#This Row],[filter]],Filtros,2,0)</f>
        <v>Cliente</v>
      </c>
      <c r="F51" t="str" cm="1">
        <f t="array" ref="F51">IF(flavio_2023_mar_events[[#This Row],[filter]]="C",LocalizarCliente(flavio_2023_mar_events[[#This Row],[end_date]]),"--")</f>
        <v>Alinhamento !!Garage!! Prysmian</v>
      </c>
      <c r="G51" s="5">
        <f>flavio_2023_mar_events[[#This Row],[calendar_owner_email]]-flavio_2023_mar_events[[#This Row],[calendar_owner_name]]</f>
        <v>2.0833333328482695E-2</v>
      </c>
      <c r="H51" s="2" t="s">
        <v>85</v>
      </c>
      <c r="I51" s="2" t="s">
        <v>10</v>
      </c>
      <c r="J51" s="2" t="s">
        <v>10</v>
      </c>
      <c r="K51" s="2" t="s">
        <v>10</v>
      </c>
      <c r="L51" s="2" t="s">
        <v>10</v>
      </c>
      <c r="M51" s="2" t="s">
        <v>10</v>
      </c>
    </row>
    <row r="52" spans="1:13" hidden="1" x14ac:dyDescent="0.35">
      <c r="A52" s="1">
        <v>45007.625</v>
      </c>
      <c r="B52" s="1">
        <v>45007.666666666664</v>
      </c>
      <c r="C52">
        <v>10</v>
      </c>
      <c r="D52">
        <v>0</v>
      </c>
      <c r="E52" t="str">
        <f>VLOOKUP(flavio_2023_mar_events[[#This Row],[filter]],Filtros,2,0)</f>
        <v>Nulo</v>
      </c>
      <c r="F52" t="str" cm="1">
        <f t="array" ref="F52">IF(flavio_2023_mar_events[[#This Row],[filter]]="C",LocalizarCliente(flavio_2023_mar_events[[#This Row],[end_date]]),"--")</f>
        <v>--</v>
      </c>
      <c r="G52" s="5">
        <f>flavio_2023_mar_events[[#This Row],[calendar_owner_email]]-flavio_2023_mar_events[[#This Row],[calendar_owner_name]]</f>
        <v>4.1666666664241347E-2</v>
      </c>
      <c r="H52" s="2" t="s">
        <v>99</v>
      </c>
      <c r="I52" s="2" t="s">
        <v>10</v>
      </c>
      <c r="J52" s="2" t="s">
        <v>10</v>
      </c>
      <c r="K52" s="2" t="s">
        <v>10</v>
      </c>
      <c r="L52" s="2" t="s">
        <v>10</v>
      </c>
      <c r="M52" s="2" t="s">
        <v>10</v>
      </c>
    </row>
    <row r="53" spans="1:13" hidden="1" x14ac:dyDescent="0.35">
      <c r="A53" s="1">
        <v>44995.416666666664</v>
      </c>
      <c r="B53" s="1">
        <v>44995.4375</v>
      </c>
      <c r="C53">
        <v>5</v>
      </c>
      <c r="D53" t="s">
        <v>136</v>
      </c>
      <c r="E53" t="str">
        <f>VLOOKUP(flavio_2023_mar_events[[#This Row],[filter]],Filtros,2,0)</f>
        <v>Cliente</v>
      </c>
      <c r="F53" t="str" cm="1">
        <f t="array" ref="F53">IF(flavio_2023_mar_events[[#This Row],[filter]]="C",LocalizarCliente(flavio_2023_mar_events[[#This Row],[end_date]]),"--")</f>
        <v>Alinhamento apresentação 2W Energia</v>
      </c>
      <c r="G53" s="5">
        <f>flavio_2023_mar_events[[#This Row],[calendar_owner_email]]-flavio_2023_mar_events[[#This Row],[calendar_owner_name]]</f>
        <v>2.0833333335758653E-2</v>
      </c>
      <c r="H53" s="2" t="s">
        <v>55</v>
      </c>
      <c r="I53" s="2" t="s">
        <v>10</v>
      </c>
      <c r="J53" s="2" t="s">
        <v>10</v>
      </c>
      <c r="K53" s="2" t="s">
        <v>10</v>
      </c>
      <c r="L53" s="2" t="s">
        <v>10</v>
      </c>
      <c r="M53" s="2" t="s">
        <v>10</v>
      </c>
    </row>
    <row r="54" spans="1:13" hidden="1" x14ac:dyDescent="0.35">
      <c r="A54" s="1">
        <v>45008.395833333336</v>
      </c>
      <c r="B54" s="1">
        <v>45008.416666666664</v>
      </c>
      <c r="C54">
        <v>5</v>
      </c>
      <c r="D54">
        <v>0</v>
      </c>
      <c r="E54" t="str">
        <f>VLOOKUP(flavio_2023_mar_events[[#This Row],[filter]],Filtros,2,0)</f>
        <v>Nulo</v>
      </c>
      <c r="F54" t="str" cm="1">
        <f t="array" ref="F54">IF(flavio_2023_mar_events[[#This Row],[filter]]="C",LocalizarCliente(flavio_2023_mar_events[[#This Row],[end_date]]),"--")</f>
        <v>--</v>
      </c>
      <c r="G54" s="5">
        <f>flavio_2023_mar_events[[#This Row],[calendar_owner_email]]-flavio_2023_mar_events[[#This Row],[calendar_owner_name]]</f>
        <v>2.0833333328482695E-2</v>
      </c>
      <c r="H54" s="2" t="s">
        <v>100</v>
      </c>
      <c r="I54" s="2" t="s">
        <v>10</v>
      </c>
      <c r="J54" s="2" t="s">
        <v>10</v>
      </c>
      <c r="K54" s="2" t="s">
        <v>10</v>
      </c>
      <c r="L54" s="2" t="s">
        <v>10</v>
      </c>
      <c r="M54" s="2" t="s">
        <v>10</v>
      </c>
    </row>
    <row r="55" spans="1:13" hidden="1" x14ac:dyDescent="0.35">
      <c r="A55" s="1">
        <v>45013.534722222219</v>
      </c>
      <c r="B55" s="1">
        <v>45013.541666666664</v>
      </c>
      <c r="C55">
        <v>1.6666666666666666E+16</v>
      </c>
      <c r="D55" t="s">
        <v>136</v>
      </c>
      <c r="E55" t="str">
        <f>VLOOKUP(flavio_2023_mar_events[[#This Row],[filter]],Filtros,2,0)</f>
        <v>Cliente</v>
      </c>
      <c r="F55" t="str" cm="1">
        <f t="array" ref="F55">IF(flavio_2023_mar_events[[#This Row],[filter]]="C",LocalizarCliente(flavio_2023_mar_events[[#This Row],[end_date]]),"--")</f>
        <v>Alinhamento Interno</v>
      </c>
      <c r="G55" s="5">
        <f>flavio_2023_mar_events[[#This Row],[calendar_owner_email]]-flavio_2023_mar_events[[#This Row],[calendar_owner_name]]</f>
        <v>6.9444444452528842E-3</v>
      </c>
      <c r="H55" s="2" t="s">
        <v>114</v>
      </c>
      <c r="I55" s="2" t="s">
        <v>10</v>
      </c>
      <c r="J55" s="2" t="s">
        <v>10</v>
      </c>
      <c r="K55" s="2" t="s">
        <v>10</v>
      </c>
      <c r="L55" s="2" t="s">
        <v>10</v>
      </c>
      <c r="M55" s="2" t="s">
        <v>10</v>
      </c>
    </row>
    <row r="56" spans="1:13" hidden="1" x14ac:dyDescent="0.35">
      <c r="A56" s="1">
        <v>45002.375</v>
      </c>
      <c r="B56" s="1">
        <v>45002.416666666664</v>
      </c>
      <c r="C56">
        <v>10</v>
      </c>
      <c r="D56" t="s">
        <v>136</v>
      </c>
      <c r="E56" t="str">
        <f>VLOOKUP(flavio_2023_mar_events[[#This Row],[filter]],Filtros,2,0)</f>
        <v>Cliente</v>
      </c>
      <c r="F56" t="str" cm="1">
        <f t="array" ref="F56">IF(flavio_2023_mar_events[[#This Row],[filter]]="C",LocalizarCliente(flavio_2023_mar_events[[#This Row],[end_date]]),"--")</f>
        <v>Alinhamento Mundo Invest</v>
      </c>
      <c r="G56" s="5">
        <f>flavio_2023_mar_events[[#This Row],[calendar_owner_email]]-flavio_2023_mar_events[[#This Row],[calendar_owner_name]]</f>
        <v>4.1666666664241347E-2</v>
      </c>
      <c r="H56" s="2" t="s">
        <v>80</v>
      </c>
      <c r="I56" s="2" t="s">
        <v>10</v>
      </c>
      <c r="J56" s="2" t="s">
        <v>10</v>
      </c>
      <c r="K56" s="2" t="s">
        <v>10</v>
      </c>
      <c r="L56" s="2" t="s">
        <v>10</v>
      </c>
      <c r="M56" s="2" t="s">
        <v>10</v>
      </c>
    </row>
    <row r="57" spans="1:13" hidden="1" x14ac:dyDescent="0.35">
      <c r="A57" s="1">
        <v>44994.4375</v>
      </c>
      <c r="B57" s="1">
        <v>44994.5</v>
      </c>
      <c r="C57">
        <v>15</v>
      </c>
      <c r="D57" t="s">
        <v>136</v>
      </c>
      <c r="E57" t="str">
        <f>VLOOKUP(flavio_2023_mar_events[[#This Row],[filter]],Filtros,2,0)</f>
        <v>Cliente</v>
      </c>
      <c r="F57" t="str" cm="1">
        <f t="array" ref="F57">IF(flavio_2023_mar_events[[#This Row],[filter]]="C",LocalizarCliente(flavio_2023_mar_events[[#This Row],[end_date]]),"--")</f>
        <v>Alinhamento RFP</v>
      </c>
      <c r="G57" s="5">
        <f>flavio_2023_mar_events[[#This Row],[calendar_owner_email]]-flavio_2023_mar_events[[#This Row],[calendar_owner_name]]</f>
        <v>6.25E-2</v>
      </c>
      <c r="H57" s="2" t="s">
        <v>50</v>
      </c>
      <c r="I57" s="2" t="s">
        <v>10</v>
      </c>
      <c r="J57" s="2" t="s">
        <v>10</v>
      </c>
      <c r="K57" s="2" t="s">
        <v>10</v>
      </c>
      <c r="L57" s="2" t="s">
        <v>10</v>
      </c>
      <c r="M57" s="2" t="s">
        <v>10</v>
      </c>
    </row>
    <row r="58" spans="1:13" hidden="1" x14ac:dyDescent="0.35">
      <c r="A58" s="1">
        <v>44988.583333333336</v>
      </c>
      <c r="B58" s="1">
        <v>44988.625</v>
      </c>
      <c r="C58">
        <v>10</v>
      </c>
      <c r="D58">
        <v>0</v>
      </c>
      <c r="E58" t="str">
        <f>VLOOKUP(flavio_2023_mar_events[[#This Row],[filter]],Filtros,2,0)</f>
        <v>Nulo</v>
      </c>
      <c r="F58" t="str" cm="1">
        <f t="array" ref="F58">IF(flavio_2023_mar_events[[#This Row],[filter]]="C",LocalizarCliente(flavio_2023_mar_events[[#This Row],[end_date]]),"--")</f>
        <v>--</v>
      </c>
      <c r="G58" s="5">
        <f>flavio_2023_mar_events[[#This Row],[calendar_owner_email]]-flavio_2023_mar_events[[#This Row],[calendar_owner_name]]</f>
        <v>4.1666666664241347E-2</v>
      </c>
      <c r="H58" s="2" t="s">
        <v>29</v>
      </c>
      <c r="I58" s="2" t="s">
        <v>10</v>
      </c>
      <c r="J58" s="2" t="s">
        <v>10</v>
      </c>
      <c r="K58" s="2" t="s">
        <v>10</v>
      </c>
      <c r="L58" s="2" t="s">
        <v>10</v>
      </c>
      <c r="M58" s="2" t="s">
        <v>10</v>
      </c>
    </row>
    <row r="59" spans="1:13" hidden="1" x14ac:dyDescent="0.35">
      <c r="A59" s="1">
        <v>44995.583333333336</v>
      </c>
      <c r="B59" s="1">
        <v>44995.625</v>
      </c>
      <c r="C59">
        <v>10</v>
      </c>
      <c r="D59" t="s">
        <v>144</v>
      </c>
      <c r="E59" t="str">
        <f>VLOOKUP(flavio_2023_mar_events[[#This Row],[filter]],Filtros,2,0)</f>
        <v>Parcerias</v>
      </c>
      <c r="F59" t="str" cm="1">
        <f t="array" ref="F59">IF(flavio_2023_mar_events[[#This Row],[filter]]="C",LocalizarCliente(flavio_2023_mar_events[[#This Row],[end_date]]),"--")</f>
        <v>--</v>
      </c>
      <c r="G59" s="5">
        <f>flavio_2023_mar_events[[#This Row],[calendar_owner_email]]-flavio_2023_mar_events[[#This Row],[calendar_owner_name]]</f>
        <v>4.1666666664241347E-2</v>
      </c>
      <c r="H59" s="2" t="s">
        <v>29</v>
      </c>
      <c r="I59" s="2" t="s">
        <v>10</v>
      </c>
      <c r="J59" s="2" t="s">
        <v>10</v>
      </c>
      <c r="K59" s="2" t="s">
        <v>10</v>
      </c>
      <c r="L59" s="2" t="s">
        <v>10</v>
      </c>
      <c r="M59" s="2" t="s">
        <v>10</v>
      </c>
    </row>
    <row r="60" spans="1:13" hidden="1" x14ac:dyDescent="0.35">
      <c r="A60" s="1">
        <v>45002.583333333336</v>
      </c>
      <c r="B60" s="1">
        <v>45002.625</v>
      </c>
      <c r="C60">
        <v>10</v>
      </c>
      <c r="D60" t="s">
        <v>136</v>
      </c>
      <c r="E60" t="str">
        <f>VLOOKUP(flavio_2023_mar_events[[#This Row],[filter]],Filtros,2,0)</f>
        <v>Cliente</v>
      </c>
      <c r="F60" t="str" cm="1">
        <f t="array" ref="F60">IF(flavio_2023_mar_events[[#This Row],[filter]]="C",LocalizarCliente(flavio_2023_mar_events[[#This Row],[end_date]]),"--")</f>
        <v>Alinhamento Sensedia</v>
      </c>
      <c r="G60" s="5">
        <f>flavio_2023_mar_events[[#This Row],[calendar_owner_email]]-flavio_2023_mar_events[[#This Row],[calendar_owner_name]]</f>
        <v>4.1666666664241347E-2</v>
      </c>
      <c r="H60" s="2" t="s">
        <v>29</v>
      </c>
      <c r="I60" s="2" t="s">
        <v>10</v>
      </c>
      <c r="J60" s="2" t="s">
        <v>10</v>
      </c>
      <c r="K60" s="2" t="s">
        <v>10</v>
      </c>
      <c r="L60" s="2" t="s">
        <v>10</v>
      </c>
      <c r="M60" s="2" t="s">
        <v>10</v>
      </c>
    </row>
    <row r="61" spans="1:13" hidden="1" x14ac:dyDescent="0.35">
      <c r="A61" s="1">
        <v>45009.583333333336</v>
      </c>
      <c r="B61" s="1">
        <v>45009.625</v>
      </c>
      <c r="C61">
        <v>10</v>
      </c>
      <c r="D61" t="s">
        <v>136</v>
      </c>
      <c r="E61" t="str">
        <f>VLOOKUP(flavio_2023_mar_events[[#This Row],[filter]],Filtros,2,0)</f>
        <v>Cliente</v>
      </c>
      <c r="F61" t="str" cm="1">
        <f t="array" ref="F61">IF(flavio_2023_mar_events[[#This Row],[filter]]="C",LocalizarCliente(flavio_2023_mar_events[[#This Row],[end_date]]),"--")</f>
        <v>Alinhamento Sensedia</v>
      </c>
      <c r="G61" s="5">
        <f>flavio_2023_mar_events[[#This Row],[calendar_owner_email]]-flavio_2023_mar_events[[#This Row],[calendar_owner_name]]</f>
        <v>4.1666666664241347E-2</v>
      </c>
      <c r="H61" s="2" t="s">
        <v>29</v>
      </c>
      <c r="I61" s="2" t="s">
        <v>10</v>
      </c>
      <c r="J61" s="2" t="s">
        <v>10</v>
      </c>
      <c r="K61" s="2" t="s">
        <v>10</v>
      </c>
      <c r="L61" s="2" t="s">
        <v>10</v>
      </c>
      <c r="M61" s="2" t="s">
        <v>10</v>
      </c>
    </row>
    <row r="62" spans="1:13" hidden="1" x14ac:dyDescent="0.35">
      <c r="A62" s="1">
        <v>45016.583333333336</v>
      </c>
      <c r="B62" s="1">
        <v>45016.625</v>
      </c>
      <c r="C62">
        <v>10</v>
      </c>
      <c r="D62">
        <v>0</v>
      </c>
      <c r="E62" t="str">
        <f>VLOOKUP(flavio_2023_mar_events[[#This Row],[filter]],Filtros,2,0)</f>
        <v>Nulo</v>
      </c>
      <c r="F62" t="str" cm="1">
        <f t="array" ref="F62">IF(flavio_2023_mar_events[[#This Row],[filter]]="C",LocalizarCliente(flavio_2023_mar_events[[#This Row],[end_date]]),"--")</f>
        <v>--</v>
      </c>
      <c r="G62" s="5">
        <f>flavio_2023_mar_events[[#This Row],[calendar_owner_email]]-flavio_2023_mar_events[[#This Row],[calendar_owner_name]]</f>
        <v>4.1666666664241347E-2</v>
      </c>
      <c r="H62" s="2" t="s">
        <v>29</v>
      </c>
      <c r="I62" s="2" t="s">
        <v>10</v>
      </c>
      <c r="J62" s="2" t="s">
        <v>10</v>
      </c>
      <c r="K62" s="2" t="s">
        <v>10</v>
      </c>
      <c r="L62" s="2" t="s">
        <v>10</v>
      </c>
      <c r="M62" s="2" t="s">
        <v>10</v>
      </c>
    </row>
    <row r="63" spans="1:13" x14ac:dyDescent="0.35">
      <c r="A63" s="1">
        <v>45002.666666666664</v>
      </c>
      <c r="B63" s="1">
        <v>45002.708333333336</v>
      </c>
      <c r="C63">
        <v>10</v>
      </c>
      <c r="D63" t="s">
        <v>135</v>
      </c>
      <c r="E63" t="str">
        <f>VLOOKUP(flavio_2023_mar_events[[#This Row],[filter]],Filtros,2,0)</f>
        <v>Education</v>
      </c>
      <c r="F63" t="str" cm="1">
        <f t="array" ref="F63">IF(flavio_2023_mar_events[[#This Row],[filter]]="C",LocalizarCliente(flavio_2023_mar_events[[#This Row],[end_date]]),"--")</f>
        <v>--</v>
      </c>
      <c r="G63" s="5">
        <f>flavio_2023_mar_events[[#This Row],[calendar_owner_email]]-flavio_2023_mar_events[[#This Row],[calendar_owner_name]]</f>
        <v>4.1666666671517305E-2</v>
      </c>
      <c r="H63" s="2" t="s">
        <v>86</v>
      </c>
      <c r="I63" s="2" t="s">
        <v>10</v>
      </c>
      <c r="J63" s="2" t="s">
        <v>10</v>
      </c>
      <c r="K63" s="2" t="s">
        <v>10</v>
      </c>
      <c r="L63" s="2" t="s">
        <v>10</v>
      </c>
      <c r="M63" s="2" t="s">
        <v>10</v>
      </c>
    </row>
    <row r="64" spans="1:13" hidden="1" x14ac:dyDescent="0.35">
      <c r="A64" s="1">
        <v>45002.4375</v>
      </c>
      <c r="B64" s="1">
        <v>45002.458333333336</v>
      </c>
      <c r="C64">
        <v>5</v>
      </c>
      <c r="D64" t="s">
        <v>136</v>
      </c>
      <c r="E64" t="str">
        <f>VLOOKUP(flavio_2023_mar_events[[#This Row],[filter]],Filtros,2,0)</f>
        <v>Cliente</v>
      </c>
      <c r="F64" t="str" cm="1">
        <f t="array" ref="F64">IF(flavio_2023_mar_events[[#This Row],[filter]]="C",LocalizarCliente(flavio_2023_mar_events[[#This Row],[end_date]]),"--")</f>
        <v>Alinhamento Treinamento Parcerias</v>
      </c>
      <c r="G64" s="5">
        <f>flavio_2023_mar_events[[#This Row],[calendar_owner_email]]-flavio_2023_mar_events[[#This Row],[calendar_owner_name]]</f>
        <v>2.0833333335758653E-2</v>
      </c>
      <c r="H64" s="2" t="s">
        <v>81</v>
      </c>
      <c r="I64" s="2" t="s">
        <v>10</v>
      </c>
      <c r="J64" s="2" t="s">
        <v>10</v>
      </c>
      <c r="K64" s="2" t="s">
        <v>10</v>
      </c>
      <c r="L64" s="2" t="s">
        <v>10</v>
      </c>
      <c r="M64" s="2" t="s">
        <v>10</v>
      </c>
    </row>
    <row r="65" spans="1:13" hidden="1" x14ac:dyDescent="0.35">
      <c r="A65" s="1">
        <v>45014.625</v>
      </c>
      <c r="B65" s="1">
        <v>45014.666666666664</v>
      </c>
      <c r="C65">
        <v>10</v>
      </c>
      <c r="D65" t="s">
        <v>141</v>
      </c>
      <c r="E65" t="str">
        <f>VLOOKUP(flavio_2023_mar_events[[#This Row],[filter]],Filtros,2,0)</f>
        <v>Solutions</v>
      </c>
      <c r="F65" t="str" cm="1">
        <f t="array" ref="F65">IF(flavio_2023_mar_events[[#This Row],[filter]]="C",LocalizarCliente(flavio_2023_mar_events[[#This Row],[end_date]]),"--")</f>
        <v>--</v>
      </c>
      <c r="G65" s="5">
        <f>flavio_2023_mar_events[[#This Row],[calendar_owner_email]]-flavio_2023_mar_events[[#This Row],[calendar_owner_name]]</f>
        <v>4.1666666664241347E-2</v>
      </c>
      <c r="H65" s="2" t="s">
        <v>119</v>
      </c>
      <c r="I65" s="2" t="s">
        <v>10</v>
      </c>
      <c r="J65" s="2" t="s">
        <v>10</v>
      </c>
      <c r="K65" s="2" t="s">
        <v>10</v>
      </c>
      <c r="L65" s="2" t="s">
        <v>10</v>
      </c>
      <c r="M65" s="2" t="s">
        <v>10</v>
      </c>
    </row>
    <row r="66" spans="1:13" hidden="1" x14ac:dyDescent="0.35">
      <c r="A66" s="1">
        <v>44998.666666666664</v>
      </c>
      <c r="B66" s="1">
        <v>44998.708333333336</v>
      </c>
      <c r="C66">
        <v>10</v>
      </c>
      <c r="D66" t="s">
        <v>141</v>
      </c>
      <c r="E66" t="str">
        <f>VLOOKUP(flavio_2023_mar_events[[#This Row],[filter]],Filtros,2,0)</f>
        <v>Solutions</v>
      </c>
      <c r="F66" t="str" cm="1">
        <f t="array" ref="F66">IF(flavio_2023_mar_events[[#This Row],[filter]]="C",LocalizarCliente(flavio_2023_mar_events[[#This Row],[end_date]]),"--")</f>
        <v>--</v>
      </c>
      <c r="G66" s="5">
        <f>flavio_2023_mar_events[[#This Row],[calendar_owner_email]]-flavio_2023_mar_events[[#This Row],[calendar_owner_name]]</f>
        <v>4.1666666671517305E-2</v>
      </c>
      <c r="H66" s="2" t="s">
        <v>64</v>
      </c>
      <c r="I66" s="2" t="s">
        <v>10</v>
      </c>
      <c r="J66" s="2" t="s">
        <v>10</v>
      </c>
      <c r="K66" s="2" t="s">
        <v>10</v>
      </c>
      <c r="L66" s="2" t="s">
        <v>10</v>
      </c>
      <c r="M66" s="2" t="s">
        <v>10</v>
      </c>
    </row>
    <row r="67" spans="1:13" x14ac:dyDescent="0.35">
      <c r="A67" s="1">
        <v>45005.416666666664</v>
      </c>
      <c r="B67" s="1">
        <v>45005.451388888891</v>
      </c>
      <c r="C67">
        <v>8333333333333334</v>
      </c>
      <c r="D67" t="s">
        <v>135</v>
      </c>
      <c r="E67" t="str">
        <f>VLOOKUP(flavio_2023_mar_events[[#This Row],[filter]],Filtros,2,0)</f>
        <v>Education</v>
      </c>
      <c r="F67" t="str" cm="1">
        <f t="array" ref="F67">IF(flavio_2023_mar_events[[#This Row],[filter]]="C",LocalizarCliente(flavio_2023_mar_events[[#This Row],[end_date]]),"--")</f>
        <v>--</v>
      </c>
      <c r="G67" s="5">
        <f>flavio_2023_mar_events[[#This Row],[calendar_owner_email]]-flavio_2023_mar_events[[#This Row],[calendar_owner_name]]</f>
        <v>3.4722222226264421E-2</v>
      </c>
      <c r="H67" s="2" t="s">
        <v>89</v>
      </c>
      <c r="I67" s="2" t="s">
        <v>10</v>
      </c>
      <c r="J67" s="2" t="s">
        <v>10</v>
      </c>
      <c r="K67" s="2" t="s">
        <v>10</v>
      </c>
      <c r="L67" s="2" t="s">
        <v>10</v>
      </c>
      <c r="M67" s="2" t="s">
        <v>10</v>
      </c>
    </row>
    <row r="68" spans="1:13" hidden="1" x14ac:dyDescent="0.35">
      <c r="A68" s="1">
        <v>44994.604166666664</v>
      </c>
      <c r="B68" s="1">
        <v>44994.625</v>
      </c>
      <c r="C68">
        <v>5</v>
      </c>
      <c r="D68">
        <v>0</v>
      </c>
      <c r="E68" t="str">
        <f>VLOOKUP(flavio_2023_mar_events[[#This Row],[filter]],Filtros,2,0)</f>
        <v>Nulo</v>
      </c>
      <c r="F68" t="str" cm="1">
        <f t="array" ref="F68">IF(flavio_2023_mar_events[[#This Row],[filter]]="C",LocalizarCliente(flavio_2023_mar_events[[#This Row],[end_date]]),"--")</f>
        <v>--</v>
      </c>
      <c r="G68" s="5">
        <f>flavio_2023_mar_events[[#This Row],[calendar_owner_email]]-flavio_2023_mar_events[[#This Row],[calendar_owner_name]]</f>
        <v>2.0833333335758653E-2</v>
      </c>
      <c r="H68" s="2" t="s">
        <v>52</v>
      </c>
      <c r="I68" s="2" t="s">
        <v>10</v>
      </c>
      <c r="J68" s="2" t="s">
        <v>10</v>
      </c>
      <c r="K68" s="2" t="s">
        <v>10</v>
      </c>
      <c r="L68" s="2" t="s">
        <v>10</v>
      </c>
      <c r="M68" s="2" t="s">
        <v>10</v>
      </c>
    </row>
    <row r="69" spans="1:13" hidden="1" x14ac:dyDescent="0.35">
      <c r="A69" s="1">
        <v>45006.375</v>
      </c>
      <c r="B69" s="1">
        <v>45006.708333333336</v>
      </c>
      <c r="C69">
        <v>80</v>
      </c>
      <c r="D69">
        <v>0</v>
      </c>
      <c r="E69" t="str">
        <f>VLOOKUP(flavio_2023_mar_events[[#This Row],[filter]],Filtros,2,0)</f>
        <v>Nulo</v>
      </c>
      <c r="F69" t="str" cm="1">
        <f t="array" ref="F69">IF(flavio_2023_mar_events[[#This Row],[filter]]="C",LocalizarCliente(flavio_2023_mar_events[[#This Row],[end_date]]),"--")</f>
        <v>--</v>
      </c>
      <c r="G69" s="5">
        <f>flavio_2023_mar_events[[#This Row],[calendar_owner_email]]-flavio_2023_mar_events[[#This Row],[calendar_owner_name]]</f>
        <v>0.33333333333575865</v>
      </c>
      <c r="H69" s="2" t="s">
        <v>94</v>
      </c>
      <c r="I69" s="2" t="s">
        <v>10</v>
      </c>
      <c r="J69" s="2" t="s">
        <v>10</v>
      </c>
      <c r="K69" s="2" t="s">
        <v>10</v>
      </c>
      <c r="L69" s="2" t="s">
        <v>10</v>
      </c>
      <c r="M69" s="2" t="s">
        <v>10</v>
      </c>
    </row>
    <row r="70" spans="1:13" hidden="1" x14ac:dyDescent="0.35">
      <c r="A70" s="1">
        <v>45009.583333333336</v>
      </c>
      <c r="B70" s="1">
        <v>45009.625</v>
      </c>
      <c r="C70">
        <v>10</v>
      </c>
      <c r="D70" t="s">
        <v>136</v>
      </c>
      <c r="E70" t="str">
        <f>VLOOKUP(flavio_2023_mar_events[[#This Row],[filter]],Filtros,2,0)</f>
        <v>Cliente</v>
      </c>
      <c r="F70" t="str" cm="1">
        <f t="array" ref="F70">IF(flavio_2023_mar_events[[#This Row],[filter]]="C",LocalizarCliente(flavio_2023_mar_events[[#This Row],[end_date]]),"--")</f>
        <v>Cogna + Sensedia | Desenho de PoC</v>
      </c>
      <c r="G70" s="5">
        <f>flavio_2023_mar_events[[#This Row],[calendar_owner_email]]-flavio_2023_mar_events[[#This Row],[calendar_owner_name]]</f>
        <v>4.1666666664241347E-2</v>
      </c>
      <c r="H70" s="2" t="s">
        <v>110</v>
      </c>
      <c r="I70" s="2" t="s">
        <v>10</v>
      </c>
      <c r="J70" s="2" t="s">
        <v>10</v>
      </c>
      <c r="K70" s="2" t="s">
        <v>10</v>
      </c>
      <c r="L70" s="2" t="s">
        <v>10</v>
      </c>
      <c r="M70" s="2" t="s">
        <v>10</v>
      </c>
    </row>
    <row r="71" spans="1:13" hidden="1" x14ac:dyDescent="0.35">
      <c r="A71" s="1">
        <v>45005.666666666664</v>
      </c>
      <c r="B71" s="1">
        <v>45005.708333333336</v>
      </c>
      <c r="C71">
        <v>10</v>
      </c>
      <c r="D71" t="s">
        <v>134</v>
      </c>
      <c r="E71" t="str">
        <f>VLOOKUP(flavio_2023_mar_events[[#This Row],[filter]],Filtros,2,0)</f>
        <v>Open Banking</v>
      </c>
      <c r="F71" t="str" cm="1">
        <f t="array" ref="F71">IF(flavio_2023_mar_events[[#This Row],[filter]]="C",LocalizarCliente(flavio_2023_mar_events[[#This Row],[end_date]]),"--")</f>
        <v>--</v>
      </c>
      <c r="G71" s="5">
        <f>flavio_2023_mar_events[[#This Row],[calendar_owner_email]]-flavio_2023_mar_events[[#This Row],[calendar_owner_name]]</f>
        <v>4.1666666671517305E-2</v>
      </c>
      <c r="H71" s="2" t="s">
        <v>92</v>
      </c>
      <c r="I71" s="2" t="s">
        <v>10</v>
      </c>
      <c r="J71" s="2" t="s">
        <v>10</v>
      </c>
      <c r="K71" s="2" t="s">
        <v>10</v>
      </c>
      <c r="L71" s="2" t="s">
        <v>10</v>
      </c>
      <c r="M71" s="2" t="s">
        <v>10</v>
      </c>
    </row>
    <row r="72" spans="1:13" hidden="1" x14ac:dyDescent="0.35">
      <c r="A72" s="1">
        <v>44986.4375</v>
      </c>
      <c r="B72" s="1">
        <v>44986.479166666664</v>
      </c>
      <c r="C72">
        <v>10</v>
      </c>
      <c r="D72" t="s">
        <v>136</v>
      </c>
      <c r="E72" t="str">
        <f>VLOOKUP(flavio_2023_mar_events[[#This Row],[filter]],Filtros,2,0)</f>
        <v>Cliente</v>
      </c>
      <c r="F72" t="str" cm="1">
        <f t="array" ref="F72">IF(flavio_2023_mar_events[[#This Row],[filter]]="C",LocalizarCliente(flavio_2023_mar_events[[#This Row],[end_date]]),"--")</f>
        <v>Conversa Sensedia e ICONIC</v>
      </c>
      <c r="G72" s="5">
        <f>flavio_2023_mar_events[[#This Row],[calendar_owner_email]]-flavio_2023_mar_events[[#This Row],[calendar_owner_name]]</f>
        <v>4.1666666664241347E-2</v>
      </c>
      <c r="H72" s="2" t="s">
        <v>12</v>
      </c>
      <c r="I72" s="2" t="s">
        <v>10</v>
      </c>
      <c r="J72" s="2" t="s">
        <v>10</v>
      </c>
      <c r="K72" s="2" t="s">
        <v>10</v>
      </c>
      <c r="L72" s="2" t="s">
        <v>10</v>
      </c>
      <c r="M72" s="2" t="s">
        <v>10</v>
      </c>
    </row>
    <row r="73" spans="1:13" hidden="1" x14ac:dyDescent="0.35">
      <c r="A73" s="1">
        <v>44986.364583333336</v>
      </c>
      <c r="B73" s="1">
        <v>44986.385416666664</v>
      </c>
      <c r="C73">
        <v>5</v>
      </c>
      <c r="D73" t="s">
        <v>136</v>
      </c>
      <c r="E73" t="str">
        <f>VLOOKUP(flavio_2023_mar_events[[#This Row],[filter]],Filtros,2,0)</f>
        <v>Cliente</v>
      </c>
      <c r="F73" t="str" cm="1">
        <f t="array" ref="F73">IF(flavio_2023_mar_events[[#This Row],[filter]]="C",LocalizarCliente(flavio_2023_mar_events[[#This Row],[end_date]]),"--")</f>
        <v>Daily | Solutions Team</v>
      </c>
      <c r="G73" s="5">
        <f>flavio_2023_mar_events[[#This Row],[calendar_owner_email]]-flavio_2023_mar_events[[#This Row],[calendar_owner_name]]</f>
        <v>2.0833333328482695E-2</v>
      </c>
      <c r="H73" s="2" t="s">
        <v>9</v>
      </c>
      <c r="I73" s="2" t="s">
        <v>10</v>
      </c>
      <c r="J73" s="2" t="s">
        <v>10</v>
      </c>
      <c r="K73" s="2" t="s">
        <v>10</v>
      </c>
      <c r="L73" s="2" t="s">
        <v>10</v>
      </c>
      <c r="M73" s="2" t="s">
        <v>10</v>
      </c>
    </row>
    <row r="74" spans="1:13" hidden="1" x14ac:dyDescent="0.35">
      <c r="A74" s="1">
        <v>44987.364583333336</v>
      </c>
      <c r="B74" s="1">
        <v>44987.385416666664</v>
      </c>
      <c r="C74">
        <v>5</v>
      </c>
      <c r="D74" t="s">
        <v>141</v>
      </c>
      <c r="E74" t="str">
        <f>VLOOKUP(flavio_2023_mar_events[[#This Row],[filter]],Filtros,2,0)</f>
        <v>Solutions</v>
      </c>
      <c r="F74" t="str" cm="1">
        <f t="array" ref="F74">IF(flavio_2023_mar_events[[#This Row],[filter]]="C",LocalizarCliente(flavio_2023_mar_events[[#This Row],[end_date]]),"--")</f>
        <v>--</v>
      </c>
      <c r="G74" s="5">
        <f>flavio_2023_mar_events[[#This Row],[calendar_owner_email]]-flavio_2023_mar_events[[#This Row],[calendar_owner_name]]</f>
        <v>2.0833333328482695E-2</v>
      </c>
      <c r="H74" s="2" t="s">
        <v>9</v>
      </c>
      <c r="I74" s="2" t="s">
        <v>10</v>
      </c>
      <c r="J74" s="2" t="s">
        <v>10</v>
      </c>
      <c r="K74" s="2" t="s">
        <v>10</v>
      </c>
      <c r="L74" s="2" t="s">
        <v>10</v>
      </c>
      <c r="M74" s="2" t="s">
        <v>10</v>
      </c>
    </row>
    <row r="75" spans="1:13" hidden="1" x14ac:dyDescent="0.35">
      <c r="A75" s="1">
        <v>44991.364583333336</v>
      </c>
      <c r="B75" s="1">
        <v>44991.385416666664</v>
      </c>
      <c r="C75">
        <v>5</v>
      </c>
      <c r="D75" t="s">
        <v>136</v>
      </c>
      <c r="E75" t="str">
        <f>VLOOKUP(flavio_2023_mar_events[[#This Row],[filter]],Filtros,2,0)</f>
        <v>Cliente</v>
      </c>
      <c r="F75" t="str" cm="1">
        <f t="array" ref="F75">IF(flavio_2023_mar_events[[#This Row],[filter]]="C",LocalizarCliente(flavio_2023_mar_events[[#This Row],[end_date]]),"--")</f>
        <v>Daily | Solutions Team</v>
      </c>
      <c r="G75" s="5">
        <f>flavio_2023_mar_events[[#This Row],[calendar_owner_email]]-flavio_2023_mar_events[[#This Row],[calendar_owner_name]]</f>
        <v>2.0833333328482695E-2</v>
      </c>
      <c r="H75" s="2" t="s">
        <v>9</v>
      </c>
      <c r="I75" s="2" t="s">
        <v>10</v>
      </c>
      <c r="J75" s="2" t="s">
        <v>10</v>
      </c>
      <c r="K75" s="2" t="s">
        <v>10</v>
      </c>
      <c r="L75" s="2" t="s">
        <v>10</v>
      </c>
      <c r="M75" s="2" t="s">
        <v>10</v>
      </c>
    </row>
    <row r="76" spans="1:13" hidden="1" x14ac:dyDescent="0.35">
      <c r="A76" s="1">
        <v>44992.364583333336</v>
      </c>
      <c r="B76" s="1">
        <v>44992.385416666664</v>
      </c>
      <c r="C76">
        <v>5</v>
      </c>
      <c r="D76" t="s">
        <v>136</v>
      </c>
      <c r="E76" t="str">
        <f>VLOOKUP(flavio_2023_mar_events[[#This Row],[filter]],Filtros,2,0)</f>
        <v>Cliente</v>
      </c>
      <c r="F76" t="str" cm="1">
        <f t="array" ref="F76">IF(flavio_2023_mar_events[[#This Row],[filter]]="C",LocalizarCliente(flavio_2023_mar_events[[#This Row],[end_date]]),"--")</f>
        <v>Daily | Solutions Team</v>
      </c>
      <c r="G76" s="5">
        <f>flavio_2023_mar_events[[#This Row],[calendar_owner_email]]-flavio_2023_mar_events[[#This Row],[calendar_owner_name]]</f>
        <v>2.0833333328482695E-2</v>
      </c>
      <c r="H76" s="2" t="s">
        <v>9</v>
      </c>
      <c r="I76" s="2" t="s">
        <v>10</v>
      </c>
      <c r="J76" s="2" t="s">
        <v>10</v>
      </c>
      <c r="K76" s="2" t="s">
        <v>10</v>
      </c>
      <c r="L76" s="2" t="s">
        <v>10</v>
      </c>
      <c r="M76" s="2" t="s">
        <v>10</v>
      </c>
    </row>
    <row r="77" spans="1:13" hidden="1" x14ac:dyDescent="0.35">
      <c r="A77" s="1">
        <v>44993.364583333336</v>
      </c>
      <c r="B77" s="1">
        <v>44993.385416666664</v>
      </c>
      <c r="C77">
        <v>5</v>
      </c>
      <c r="D77" t="s">
        <v>143</v>
      </c>
      <c r="E77" t="str">
        <f>VLOOKUP(flavio_2023_mar_events[[#This Row],[filter]],Filtros,2,0)</f>
        <v>BizDevs</v>
      </c>
      <c r="F77" t="str" cm="1">
        <f t="array" ref="F77">IF(flavio_2023_mar_events[[#This Row],[filter]]="C",LocalizarCliente(flavio_2023_mar_events[[#This Row],[end_date]]),"--")</f>
        <v>--</v>
      </c>
      <c r="G77" s="5">
        <f>flavio_2023_mar_events[[#This Row],[calendar_owner_email]]-flavio_2023_mar_events[[#This Row],[calendar_owner_name]]</f>
        <v>2.0833333328482695E-2</v>
      </c>
      <c r="H77" s="2" t="s">
        <v>9</v>
      </c>
      <c r="I77" s="2" t="s">
        <v>10</v>
      </c>
      <c r="J77" s="2" t="s">
        <v>10</v>
      </c>
      <c r="K77" s="2" t="s">
        <v>10</v>
      </c>
      <c r="L77" s="2" t="s">
        <v>10</v>
      </c>
      <c r="M77" s="2" t="s">
        <v>10</v>
      </c>
    </row>
    <row r="78" spans="1:13" hidden="1" x14ac:dyDescent="0.35">
      <c r="A78" s="1">
        <v>44994.364583333336</v>
      </c>
      <c r="B78" s="1">
        <v>44994.385416666664</v>
      </c>
      <c r="C78">
        <v>5</v>
      </c>
      <c r="D78" t="s">
        <v>136</v>
      </c>
      <c r="E78" t="str">
        <f>VLOOKUP(flavio_2023_mar_events[[#This Row],[filter]],Filtros,2,0)</f>
        <v>Cliente</v>
      </c>
      <c r="F78" t="str" cm="1">
        <f t="array" ref="F78">IF(flavio_2023_mar_events[[#This Row],[filter]]="C",LocalizarCliente(flavio_2023_mar_events[[#This Row],[end_date]]),"--")</f>
        <v>Daily | Solutions Team</v>
      </c>
      <c r="G78" s="5">
        <f>flavio_2023_mar_events[[#This Row],[calendar_owner_email]]-flavio_2023_mar_events[[#This Row],[calendar_owner_name]]</f>
        <v>2.0833333328482695E-2</v>
      </c>
      <c r="H78" s="2" t="s">
        <v>9</v>
      </c>
      <c r="I78" s="2" t="s">
        <v>10</v>
      </c>
      <c r="J78" s="2" t="s">
        <v>10</v>
      </c>
      <c r="K78" s="2" t="s">
        <v>10</v>
      </c>
      <c r="L78" s="2" t="s">
        <v>10</v>
      </c>
      <c r="M78" s="2" t="s">
        <v>10</v>
      </c>
    </row>
    <row r="79" spans="1:13" hidden="1" x14ac:dyDescent="0.35">
      <c r="A79" s="1">
        <v>44998.364583333336</v>
      </c>
      <c r="B79" s="1">
        <v>44998.385416666664</v>
      </c>
      <c r="C79">
        <v>5</v>
      </c>
      <c r="D79" t="s">
        <v>141</v>
      </c>
      <c r="E79" t="str">
        <f>VLOOKUP(flavio_2023_mar_events[[#This Row],[filter]],Filtros,2,0)</f>
        <v>Solutions</v>
      </c>
      <c r="F79" t="str" cm="1">
        <f t="array" ref="F79">IF(flavio_2023_mar_events[[#This Row],[filter]]="C",LocalizarCliente(flavio_2023_mar_events[[#This Row],[end_date]]),"--")</f>
        <v>--</v>
      </c>
      <c r="G79" s="5">
        <f>flavio_2023_mar_events[[#This Row],[calendar_owner_email]]-flavio_2023_mar_events[[#This Row],[calendar_owner_name]]</f>
        <v>2.0833333328482695E-2</v>
      </c>
      <c r="H79" s="2" t="s">
        <v>9</v>
      </c>
      <c r="I79" s="2" t="s">
        <v>10</v>
      </c>
      <c r="J79" s="2" t="s">
        <v>10</v>
      </c>
      <c r="K79" s="2" t="s">
        <v>10</v>
      </c>
      <c r="L79" s="2" t="s">
        <v>10</v>
      </c>
      <c r="M79" s="2" t="s">
        <v>10</v>
      </c>
    </row>
    <row r="80" spans="1:13" hidden="1" x14ac:dyDescent="0.35">
      <c r="A80" s="1">
        <v>44999.364583333336</v>
      </c>
      <c r="B80" s="1">
        <v>44999.385416666664</v>
      </c>
      <c r="C80">
        <v>5</v>
      </c>
      <c r="D80" t="s">
        <v>141</v>
      </c>
      <c r="E80" t="str">
        <f>VLOOKUP(flavio_2023_mar_events[[#This Row],[filter]],Filtros,2,0)</f>
        <v>Solutions</v>
      </c>
      <c r="F80" t="str" cm="1">
        <f t="array" ref="F80">IF(flavio_2023_mar_events[[#This Row],[filter]]="C",LocalizarCliente(flavio_2023_mar_events[[#This Row],[end_date]]),"--")</f>
        <v>--</v>
      </c>
      <c r="G80" s="5">
        <f>flavio_2023_mar_events[[#This Row],[calendar_owner_email]]-flavio_2023_mar_events[[#This Row],[calendar_owner_name]]</f>
        <v>2.0833333328482695E-2</v>
      </c>
      <c r="H80" s="2" t="s">
        <v>9</v>
      </c>
      <c r="I80" s="2" t="s">
        <v>10</v>
      </c>
      <c r="J80" s="2" t="s">
        <v>10</v>
      </c>
      <c r="K80" s="2" t="s">
        <v>10</v>
      </c>
      <c r="L80" s="2" t="s">
        <v>10</v>
      </c>
      <c r="M80" s="2" t="s">
        <v>10</v>
      </c>
    </row>
    <row r="81" spans="1:13" hidden="1" x14ac:dyDescent="0.35">
      <c r="A81" s="1">
        <v>45000.364583333336</v>
      </c>
      <c r="B81" s="1">
        <v>45000.385416666664</v>
      </c>
      <c r="C81">
        <v>5</v>
      </c>
      <c r="D81">
        <v>0</v>
      </c>
      <c r="E81" t="str">
        <f>VLOOKUP(flavio_2023_mar_events[[#This Row],[filter]],Filtros,2,0)</f>
        <v>Nulo</v>
      </c>
      <c r="F81" t="str" cm="1">
        <f t="array" ref="F81">IF(flavio_2023_mar_events[[#This Row],[filter]]="C",LocalizarCliente(flavio_2023_mar_events[[#This Row],[end_date]]),"--")</f>
        <v>--</v>
      </c>
      <c r="G81" s="5">
        <f>flavio_2023_mar_events[[#This Row],[calendar_owner_email]]-flavio_2023_mar_events[[#This Row],[calendar_owner_name]]</f>
        <v>2.0833333328482695E-2</v>
      </c>
      <c r="H81" s="2" t="s">
        <v>9</v>
      </c>
      <c r="I81" s="2" t="s">
        <v>10</v>
      </c>
      <c r="J81" s="2" t="s">
        <v>10</v>
      </c>
      <c r="K81" s="2" t="s">
        <v>10</v>
      </c>
      <c r="L81" s="2" t="s">
        <v>10</v>
      </c>
      <c r="M81" s="2" t="s">
        <v>10</v>
      </c>
    </row>
    <row r="82" spans="1:13" hidden="1" x14ac:dyDescent="0.35">
      <c r="A82" s="1">
        <v>45001.364583333336</v>
      </c>
      <c r="B82" s="1">
        <v>45001.385416666664</v>
      </c>
      <c r="C82">
        <v>5</v>
      </c>
      <c r="D82" t="s">
        <v>136</v>
      </c>
      <c r="E82" t="str">
        <f>VLOOKUP(flavio_2023_mar_events[[#This Row],[filter]],Filtros,2,0)</f>
        <v>Cliente</v>
      </c>
      <c r="F82" t="str" cm="1">
        <f t="array" ref="F82">IF(flavio_2023_mar_events[[#This Row],[filter]]="C",LocalizarCliente(flavio_2023_mar_events[[#This Row],[end_date]]),"--")</f>
        <v>Daily | Solutions Team</v>
      </c>
      <c r="G82" s="5">
        <f>flavio_2023_mar_events[[#This Row],[calendar_owner_email]]-flavio_2023_mar_events[[#This Row],[calendar_owner_name]]</f>
        <v>2.0833333328482695E-2</v>
      </c>
      <c r="H82" s="2" t="s">
        <v>9</v>
      </c>
      <c r="I82" s="2" t="s">
        <v>10</v>
      </c>
      <c r="J82" s="2" t="s">
        <v>10</v>
      </c>
      <c r="K82" s="2" t="s">
        <v>10</v>
      </c>
      <c r="L82" s="2" t="s">
        <v>10</v>
      </c>
      <c r="M82" s="2" t="s">
        <v>10</v>
      </c>
    </row>
    <row r="83" spans="1:13" x14ac:dyDescent="0.35">
      <c r="A83" s="1">
        <v>45005.364583333336</v>
      </c>
      <c r="B83" s="1">
        <v>45005.385416666664</v>
      </c>
      <c r="C83">
        <v>5</v>
      </c>
      <c r="D83" t="s">
        <v>135</v>
      </c>
      <c r="E83" t="str">
        <f>VLOOKUP(flavio_2023_mar_events[[#This Row],[filter]],Filtros,2,0)</f>
        <v>Education</v>
      </c>
      <c r="F83" t="str" cm="1">
        <f t="array" ref="F83">IF(flavio_2023_mar_events[[#This Row],[filter]]="C",LocalizarCliente(flavio_2023_mar_events[[#This Row],[end_date]]),"--")</f>
        <v>--</v>
      </c>
      <c r="G83" s="5">
        <f>flavio_2023_mar_events[[#This Row],[calendar_owner_email]]-flavio_2023_mar_events[[#This Row],[calendar_owner_name]]</f>
        <v>2.0833333328482695E-2</v>
      </c>
      <c r="H83" s="2" t="s">
        <v>9</v>
      </c>
      <c r="I83" s="2" t="s">
        <v>10</v>
      </c>
      <c r="J83" s="2" t="s">
        <v>10</v>
      </c>
      <c r="K83" s="2" t="s">
        <v>10</v>
      </c>
      <c r="L83" s="2" t="s">
        <v>10</v>
      </c>
      <c r="M83" s="2" t="s">
        <v>10</v>
      </c>
    </row>
    <row r="84" spans="1:13" hidden="1" x14ac:dyDescent="0.35">
      <c r="A84" s="1">
        <v>45006.364583333336</v>
      </c>
      <c r="B84" s="1">
        <v>45006.385416666664</v>
      </c>
      <c r="C84">
        <v>5</v>
      </c>
      <c r="D84">
        <v>0</v>
      </c>
      <c r="E84" t="str">
        <f>VLOOKUP(flavio_2023_mar_events[[#This Row],[filter]],Filtros,2,0)</f>
        <v>Nulo</v>
      </c>
      <c r="F84" t="str" cm="1">
        <f t="array" ref="F84">IF(flavio_2023_mar_events[[#This Row],[filter]]="C",LocalizarCliente(flavio_2023_mar_events[[#This Row],[end_date]]),"--")</f>
        <v>--</v>
      </c>
      <c r="G84" s="5">
        <f>flavio_2023_mar_events[[#This Row],[calendar_owner_email]]-flavio_2023_mar_events[[#This Row],[calendar_owner_name]]</f>
        <v>2.0833333328482695E-2</v>
      </c>
      <c r="H84" s="2" t="s">
        <v>9</v>
      </c>
      <c r="I84" s="2" t="s">
        <v>10</v>
      </c>
      <c r="J84" s="2" t="s">
        <v>10</v>
      </c>
      <c r="K84" s="2" t="s">
        <v>10</v>
      </c>
      <c r="L84" s="2" t="s">
        <v>10</v>
      </c>
      <c r="M84" s="2" t="s">
        <v>10</v>
      </c>
    </row>
    <row r="85" spans="1:13" hidden="1" x14ac:dyDescent="0.35">
      <c r="A85" s="1">
        <v>45007.364583333336</v>
      </c>
      <c r="B85" s="1">
        <v>45007.385416666664</v>
      </c>
      <c r="C85">
        <v>5</v>
      </c>
      <c r="D85">
        <v>0</v>
      </c>
      <c r="E85" t="str">
        <f>VLOOKUP(flavio_2023_mar_events[[#This Row],[filter]],Filtros,2,0)</f>
        <v>Nulo</v>
      </c>
      <c r="F85" t="str" cm="1">
        <f t="array" ref="F85">IF(flavio_2023_mar_events[[#This Row],[filter]]="C",LocalizarCliente(flavio_2023_mar_events[[#This Row],[end_date]]),"--")</f>
        <v>--</v>
      </c>
      <c r="G85" s="5">
        <f>flavio_2023_mar_events[[#This Row],[calendar_owner_email]]-flavio_2023_mar_events[[#This Row],[calendar_owner_name]]</f>
        <v>2.0833333328482695E-2</v>
      </c>
      <c r="H85" s="2" t="s">
        <v>9</v>
      </c>
      <c r="I85" s="2" t="s">
        <v>10</v>
      </c>
      <c r="J85" s="2" t="s">
        <v>10</v>
      </c>
      <c r="K85" s="2" t="s">
        <v>10</v>
      </c>
      <c r="L85" s="2" t="s">
        <v>10</v>
      </c>
      <c r="M85" s="2" t="s">
        <v>10</v>
      </c>
    </row>
    <row r="86" spans="1:13" hidden="1" x14ac:dyDescent="0.35">
      <c r="A86" s="1">
        <v>45008.364583333336</v>
      </c>
      <c r="B86" s="1">
        <v>45008.385416666664</v>
      </c>
      <c r="C86">
        <v>5</v>
      </c>
      <c r="D86">
        <v>0</v>
      </c>
      <c r="E86" t="str">
        <f>VLOOKUP(flavio_2023_mar_events[[#This Row],[filter]],Filtros,2,0)</f>
        <v>Nulo</v>
      </c>
      <c r="F86" t="str" cm="1">
        <f t="array" ref="F86">IF(flavio_2023_mar_events[[#This Row],[filter]]="C",LocalizarCliente(flavio_2023_mar_events[[#This Row],[end_date]]),"--")</f>
        <v>--</v>
      </c>
      <c r="G86" s="5">
        <f>flavio_2023_mar_events[[#This Row],[calendar_owner_email]]-flavio_2023_mar_events[[#This Row],[calendar_owner_name]]</f>
        <v>2.0833333328482695E-2</v>
      </c>
      <c r="H86" s="2" t="s">
        <v>9</v>
      </c>
      <c r="I86" s="2" t="s">
        <v>10</v>
      </c>
      <c r="J86" s="2" t="s">
        <v>10</v>
      </c>
      <c r="K86" s="2" t="s">
        <v>10</v>
      </c>
      <c r="L86" s="2" t="s">
        <v>10</v>
      </c>
      <c r="M86" s="2" t="s">
        <v>10</v>
      </c>
    </row>
    <row r="87" spans="1:13" hidden="1" x14ac:dyDescent="0.35">
      <c r="A87" s="1">
        <v>45012.364583333336</v>
      </c>
      <c r="B87" s="1">
        <v>45012.385416666664</v>
      </c>
      <c r="C87">
        <v>5</v>
      </c>
      <c r="D87" t="s">
        <v>136</v>
      </c>
      <c r="E87" t="str">
        <f>VLOOKUP(flavio_2023_mar_events[[#This Row],[filter]],Filtros,2,0)</f>
        <v>Cliente</v>
      </c>
      <c r="F87" t="str" cm="1">
        <f t="array" ref="F87">IF(flavio_2023_mar_events[[#This Row],[filter]]="C",LocalizarCliente(flavio_2023_mar_events[[#This Row],[end_date]]),"--")</f>
        <v>Daily | Solutions Team</v>
      </c>
      <c r="G87" s="5">
        <f>flavio_2023_mar_events[[#This Row],[calendar_owner_email]]-flavio_2023_mar_events[[#This Row],[calendar_owner_name]]</f>
        <v>2.0833333328482695E-2</v>
      </c>
      <c r="H87" s="2" t="s">
        <v>9</v>
      </c>
      <c r="I87" s="2" t="s">
        <v>10</v>
      </c>
      <c r="J87" s="2" t="s">
        <v>10</v>
      </c>
      <c r="K87" s="2" t="s">
        <v>10</v>
      </c>
      <c r="L87" s="2" t="s">
        <v>10</v>
      </c>
      <c r="M87" s="2" t="s">
        <v>10</v>
      </c>
    </row>
    <row r="88" spans="1:13" hidden="1" x14ac:dyDescent="0.35">
      <c r="A88" s="1">
        <v>45013.364583333336</v>
      </c>
      <c r="B88" s="1">
        <v>45013.385416666664</v>
      </c>
      <c r="C88">
        <v>5</v>
      </c>
      <c r="D88" t="s">
        <v>136</v>
      </c>
      <c r="E88" t="str">
        <f>VLOOKUP(flavio_2023_mar_events[[#This Row],[filter]],Filtros,2,0)</f>
        <v>Cliente</v>
      </c>
      <c r="F88" t="str" cm="1">
        <f t="array" ref="F88">IF(flavio_2023_mar_events[[#This Row],[filter]]="C",LocalizarCliente(flavio_2023_mar_events[[#This Row],[end_date]]),"--")</f>
        <v>Daily | Solutions Team</v>
      </c>
      <c r="G88" s="5">
        <f>flavio_2023_mar_events[[#This Row],[calendar_owner_email]]-flavio_2023_mar_events[[#This Row],[calendar_owner_name]]</f>
        <v>2.0833333328482695E-2</v>
      </c>
      <c r="H88" s="2" t="s">
        <v>9</v>
      </c>
      <c r="I88" s="2" t="s">
        <v>10</v>
      </c>
      <c r="J88" s="2" t="s">
        <v>10</v>
      </c>
      <c r="K88" s="2" t="s">
        <v>10</v>
      </c>
      <c r="L88" s="2" t="s">
        <v>10</v>
      </c>
      <c r="M88" s="2" t="s">
        <v>10</v>
      </c>
    </row>
    <row r="89" spans="1:13" hidden="1" x14ac:dyDescent="0.35">
      <c r="A89" s="1">
        <v>45014.364583333336</v>
      </c>
      <c r="B89" s="1">
        <v>45014.385416666664</v>
      </c>
      <c r="C89">
        <v>5</v>
      </c>
      <c r="D89" t="s">
        <v>141</v>
      </c>
      <c r="E89" t="str">
        <f>VLOOKUP(flavio_2023_mar_events[[#This Row],[filter]],Filtros,2,0)</f>
        <v>Solutions</v>
      </c>
      <c r="F89" t="str" cm="1">
        <f t="array" ref="F89">IF(flavio_2023_mar_events[[#This Row],[filter]]="C",LocalizarCliente(flavio_2023_mar_events[[#This Row],[end_date]]),"--")</f>
        <v>--</v>
      </c>
      <c r="G89" s="5">
        <f>flavio_2023_mar_events[[#This Row],[calendar_owner_email]]-flavio_2023_mar_events[[#This Row],[calendar_owner_name]]</f>
        <v>2.0833333328482695E-2</v>
      </c>
      <c r="H89" s="2" t="s">
        <v>9</v>
      </c>
      <c r="I89" s="2" t="s">
        <v>10</v>
      </c>
      <c r="J89" s="2" t="s">
        <v>10</v>
      </c>
      <c r="K89" s="2" t="s">
        <v>10</v>
      </c>
      <c r="L89" s="2" t="s">
        <v>10</v>
      </c>
      <c r="M89" s="2" t="s">
        <v>10</v>
      </c>
    </row>
    <row r="90" spans="1:13" hidden="1" x14ac:dyDescent="0.35">
      <c r="A90" s="1">
        <v>45015.364583333336</v>
      </c>
      <c r="B90" s="1">
        <v>45015.385416666664</v>
      </c>
      <c r="C90">
        <v>5</v>
      </c>
      <c r="D90" t="s">
        <v>136</v>
      </c>
      <c r="E90" t="str">
        <f>VLOOKUP(flavio_2023_mar_events[[#This Row],[filter]],Filtros,2,0)</f>
        <v>Cliente</v>
      </c>
      <c r="F90" t="str" cm="1">
        <f t="array" ref="F90">IF(flavio_2023_mar_events[[#This Row],[filter]]="C",LocalizarCliente(flavio_2023_mar_events[[#This Row],[end_date]]),"--")</f>
        <v>Daily | Solutions Team</v>
      </c>
      <c r="G90" s="5">
        <f>flavio_2023_mar_events[[#This Row],[calendar_owner_email]]-flavio_2023_mar_events[[#This Row],[calendar_owner_name]]</f>
        <v>2.0833333328482695E-2</v>
      </c>
      <c r="H90" s="2" t="s">
        <v>9</v>
      </c>
      <c r="I90" s="2" t="s">
        <v>10</v>
      </c>
      <c r="J90" s="2" t="s">
        <v>10</v>
      </c>
      <c r="K90" s="2" t="s">
        <v>10</v>
      </c>
      <c r="L90" s="2" t="s">
        <v>10</v>
      </c>
      <c r="M90" s="2" t="s">
        <v>10</v>
      </c>
    </row>
    <row r="91" spans="1:13" hidden="1" x14ac:dyDescent="0.35">
      <c r="A91" s="1">
        <v>44988.625</v>
      </c>
      <c r="B91" s="1">
        <v>44988.666666666664</v>
      </c>
      <c r="C91">
        <v>10</v>
      </c>
      <c r="D91">
        <v>0</v>
      </c>
      <c r="E91" t="str">
        <f>VLOOKUP(flavio_2023_mar_events[[#This Row],[filter]],Filtros,2,0)</f>
        <v>Nulo</v>
      </c>
      <c r="F91" t="str" cm="1">
        <f t="array" ref="F91">IF(flavio_2023_mar_events[[#This Row],[filter]]="C",LocalizarCliente(flavio_2023_mar_events[[#This Row],[end_date]]),"--")</f>
        <v>--</v>
      </c>
      <c r="G91" s="5">
        <f>flavio_2023_mar_events[[#This Row],[calendar_owner_email]]-flavio_2023_mar_events[[#This Row],[calendar_owner_name]]</f>
        <v>4.1666666664241347E-2</v>
      </c>
      <c r="H91" s="2" t="s">
        <v>30</v>
      </c>
      <c r="I91" s="2" t="s">
        <v>10</v>
      </c>
      <c r="J91" s="2" t="s">
        <v>10</v>
      </c>
      <c r="K91" s="2" t="s">
        <v>10</v>
      </c>
      <c r="L91" s="2" t="s">
        <v>10</v>
      </c>
      <c r="M91" s="2" t="s">
        <v>10</v>
      </c>
    </row>
    <row r="92" spans="1:13" hidden="1" x14ac:dyDescent="0.35">
      <c r="A92" s="1">
        <v>44987.510416666664</v>
      </c>
      <c r="B92" s="1">
        <v>44987.552083333336</v>
      </c>
      <c r="C92">
        <v>10</v>
      </c>
      <c r="D92" t="s">
        <v>136</v>
      </c>
      <c r="E92" t="str">
        <f>VLOOKUP(flavio_2023_mar_events[[#This Row],[filter]],Filtros,2,0)</f>
        <v>Cliente</v>
      </c>
      <c r="F92" t="str" cm="1">
        <f t="array" ref="F92">IF(flavio_2023_mar_events[[#This Row],[filter]]="C",LocalizarCliente(flavio_2023_mar_events[[#This Row],[end_date]]),"--")</f>
        <v>English Class</v>
      </c>
      <c r="G92" s="5">
        <f>flavio_2023_mar_events[[#This Row],[calendar_owner_email]]-flavio_2023_mar_events[[#This Row],[calendar_owner_name]]</f>
        <v>4.1666666671517305E-2</v>
      </c>
      <c r="H92" s="2" t="s">
        <v>21</v>
      </c>
      <c r="I92" s="2" t="s">
        <v>10</v>
      </c>
      <c r="J92" s="2" t="s">
        <v>10</v>
      </c>
      <c r="K92" s="2" t="s">
        <v>10</v>
      </c>
      <c r="L92" s="2" t="s">
        <v>10</v>
      </c>
      <c r="M92" s="2" t="s">
        <v>10</v>
      </c>
    </row>
    <row r="93" spans="1:13" hidden="1" x14ac:dyDescent="0.35">
      <c r="A93" s="1">
        <v>44992.510416666664</v>
      </c>
      <c r="B93" s="1">
        <v>44992.552083333336</v>
      </c>
      <c r="C93">
        <v>10</v>
      </c>
      <c r="D93" t="s">
        <v>141</v>
      </c>
      <c r="E93" t="str">
        <f>VLOOKUP(flavio_2023_mar_events[[#This Row],[filter]],Filtros,2,0)</f>
        <v>Solutions</v>
      </c>
      <c r="F93" t="str" cm="1">
        <f t="array" ref="F93">IF(flavio_2023_mar_events[[#This Row],[filter]]="C",LocalizarCliente(flavio_2023_mar_events[[#This Row],[end_date]]),"--")</f>
        <v>--</v>
      </c>
      <c r="G93" s="5">
        <f>flavio_2023_mar_events[[#This Row],[calendar_owner_email]]-flavio_2023_mar_events[[#This Row],[calendar_owner_name]]</f>
        <v>4.1666666671517305E-2</v>
      </c>
      <c r="H93" s="2" t="s">
        <v>21</v>
      </c>
      <c r="I93" s="2" t="s">
        <v>10</v>
      </c>
      <c r="J93" s="2" t="s">
        <v>10</v>
      </c>
      <c r="K93" s="2" t="s">
        <v>10</v>
      </c>
      <c r="L93" s="2" t="s">
        <v>10</v>
      </c>
      <c r="M93" s="2" t="s">
        <v>10</v>
      </c>
    </row>
    <row r="94" spans="1:13" hidden="1" x14ac:dyDescent="0.35">
      <c r="A94" s="1">
        <v>44994.510416666664</v>
      </c>
      <c r="B94" s="1">
        <v>44994.552083333336</v>
      </c>
      <c r="C94">
        <v>10</v>
      </c>
      <c r="D94">
        <v>0</v>
      </c>
      <c r="E94" t="str">
        <f>VLOOKUP(flavio_2023_mar_events[[#This Row],[filter]],Filtros,2,0)</f>
        <v>Nulo</v>
      </c>
      <c r="F94" t="str" cm="1">
        <f t="array" ref="F94">IF(flavio_2023_mar_events[[#This Row],[filter]]="C",LocalizarCliente(flavio_2023_mar_events[[#This Row],[end_date]]),"--")</f>
        <v>--</v>
      </c>
      <c r="G94" s="5">
        <f>flavio_2023_mar_events[[#This Row],[calendar_owner_email]]-flavio_2023_mar_events[[#This Row],[calendar_owner_name]]</f>
        <v>4.1666666671517305E-2</v>
      </c>
      <c r="H94" s="2" t="s">
        <v>21</v>
      </c>
      <c r="I94" s="2" t="s">
        <v>10</v>
      </c>
      <c r="J94" s="2" t="s">
        <v>10</v>
      </c>
      <c r="K94" s="2" t="s">
        <v>10</v>
      </c>
      <c r="L94" s="2" t="s">
        <v>10</v>
      </c>
      <c r="M94" s="2" t="s">
        <v>10</v>
      </c>
    </row>
    <row r="95" spans="1:13" hidden="1" x14ac:dyDescent="0.35">
      <c r="A95" s="1">
        <v>44999.510416666664</v>
      </c>
      <c r="B95" s="1">
        <v>44999.552083333336</v>
      </c>
      <c r="C95">
        <v>10</v>
      </c>
      <c r="D95" t="s">
        <v>141</v>
      </c>
      <c r="E95" t="str">
        <f>VLOOKUP(flavio_2023_mar_events[[#This Row],[filter]],Filtros,2,0)</f>
        <v>Solutions</v>
      </c>
      <c r="F95" t="str" cm="1">
        <f t="array" ref="F95">IF(flavio_2023_mar_events[[#This Row],[filter]]="C",LocalizarCliente(flavio_2023_mar_events[[#This Row],[end_date]]),"--")</f>
        <v>--</v>
      </c>
      <c r="G95" s="5">
        <f>flavio_2023_mar_events[[#This Row],[calendar_owner_email]]-flavio_2023_mar_events[[#This Row],[calendar_owner_name]]</f>
        <v>4.1666666671517305E-2</v>
      </c>
      <c r="H95" s="2" t="s">
        <v>21</v>
      </c>
      <c r="I95" s="2" t="s">
        <v>10</v>
      </c>
      <c r="J95" s="2" t="s">
        <v>10</v>
      </c>
      <c r="K95" s="2" t="s">
        <v>10</v>
      </c>
      <c r="L95" s="2" t="s">
        <v>10</v>
      </c>
      <c r="M95" s="2" t="s">
        <v>10</v>
      </c>
    </row>
    <row r="96" spans="1:13" hidden="1" x14ac:dyDescent="0.35">
      <c r="A96" s="1">
        <v>45001.510416666664</v>
      </c>
      <c r="B96" s="1">
        <v>45001.552083333336</v>
      </c>
      <c r="C96">
        <v>10</v>
      </c>
      <c r="D96" t="s">
        <v>143</v>
      </c>
      <c r="E96" t="str">
        <f>VLOOKUP(flavio_2023_mar_events[[#This Row],[filter]],Filtros,2,0)</f>
        <v>BizDevs</v>
      </c>
      <c r="F96" t="str" cm="1">
        <f t="array" ref="F96">IF(flavio_2023_mar_events[[#This Row],[filter]]="C",LocalizarCliente(flavio_2023_mar_events[[#This Row],[end_date]]),"--")</f>
        <v>--</v>
      </c>
      <c r="G96" s="5">
        <f>flavio_2023_mar_events[[#This Row],[calendar_owner_email]]-flavio_2023_mar_events[[#This Row],[calendar_owner_name]]</f>
        <v>4.1666666671517305E-2</v>
      </c>
      <c r="H96" s="2" t="s">
        <v>21</v>
      </c>
      <c r="I96" s="2" t="s">
        <v>10</v>
      </c>
      <c r="J96" s="2" t="s">
        <v>10</v>
      </c>
      <c r="K96" s="2" t="s">
        <v>10</v>
      </c>
      <c r="L96" s="2" t="s">
        <v>10</v>
      </c>
      <c r="M96" s="2" t="s">
        <v>10</v>
      </c>
    </row>
    <row r="97" spans="1:13" hidden="1" x14ac:dyDescent="0.35">
      <c r="A97" s="1">
        <v>45006.510416666664</v>
      </c>
      <c r="B97" s="1">
        <v>45006.552083333336</v>
      </c>
      <c r="C97">
        <v>10</v>
      </c>
      <c r="D97">
        <v>0</v>
      </c>
      <c r="E97" t="str">
        <f>VLOOKUP(flavio_2023_mar_events[[#This Row],[filter]],Filtros,2,0)</f>
        <v>Nulo</v>
      </c>
      <c r="F97" t="str" cm="1">
        <f t="array" ref="F97">IF(flavio_2023_mar_events[[#This Row],[filter]]="C",LocalizarCliente(flavio_2023_mar_events[[#This Row],[end_date]]),"--")</f>
        <v>--</v>
      </c>
      <c r="G97" s="5">
        <f>flavio_2023_mar_events[[#This Row],[calendar_owner_email]]-flavio_2023_mar_events[[#This Row],[calendar_owner_name]]</f>
        <v>4.1666666671517305E-2</v>
      </c>
      <c r="H97" s="2" t="s">
        <v>21</v>
      </c>
      <c r="I97" s="2" t="s">
        <v>10</v>
      </c>
      <c r="J97" s="2" t="s">
        <v>10</v>
      </c>
      <c r="K97" s="2" t="s">
        <v>10</v>
      </c>
      <c r="L97" s="2" t="s">
        <v>10</v>
      </c>
      <c r="M97" s="2" t="s">
        <v>10</v>
      </c>
    </row>
    <row r="98" spans="1:13" hidden="1" x14ac:dyDescent="0.35">
      <c r="A98" s="1">
        <v>45008.510416666664</v>
      </c>
      <c r="B98" s="1">
        <v>45008.552083333336</v>
      </c>
      <c r="C98">
        <v>10</v>
      </c>
      <c r="D98">
        <v>0</v>
      </c>
      <c r="E98" t="str">
        <f>VLOOKUP(flavio_2023_mar_events[[#This Row],[filter]],Filtros,2,0)</f>
        <v>Nulo</v>
      </c>
      <c r="F98" t="str" cm="1">
        <f t="array" ref="F98">IF(flavio_2023_mar_events[[#This Row],[filter]]="C",LocalizarCliente(flavio_2023_mar_events[[#This Row],[end_date]]),"--")</f>
        <v>--</v>
      </c>
      <c r="G98" s="5">
        <f>flavio_2023_mar_events[[#This Row],[calendar_owner_email]]-flavio_2023_mar_events[[#This Row],[calendar_owner_name]]</f>
        <v>4.1666666671517305E-2</v>
      </c>
      <c r="H98" s="2" t="s">
        <v>21</v>
      </c>
      <c r="I98" s="2" t="s">
        <v>10</v>
      </c>
      <c r="J98" s="2" t="s">
        <v>10</v>
      </c>
      <c r="K98" s="2" t="s">
        <v>10</v>
      </c>
      <c r="L98" s="2" t="s">
        <v>10</v>
      </c>
      <c r="M98" s="2" t="s">
        <v>10</v>
      </c>
    </row>
    <row r="99" spans="1:13" hidden="1" x14ac:dyDescent="0.35">
      <c r="A99" s="1">
        <v>45013.510416666664</v>
      </c>
      <c r="B99" s="1">
        <v>45013.552083333336</v>
      </c>
      <c r="C99">
        <v>10</v>
      </c>
      <c r="D99" t="s">
        <v>136</v>
      </c>
      <c r="E99" t="str">
        <f>VLOOKUP(flavio_2023_mar_events[[#This Row],[filter]],Filtros,2,0)</f>
        <v>Cliente</v>
      </c>
      <c r="F99" t="str" cm="1">
        <f t="array" ref="F99">IF(flavio_2023_mar_events[[#This Row],[filter]]="C",LocalizarCliente(flavio_2023_mar_events[[#This Row],[end_date]]),"--")</f>
        <v>English Class</v>
      </c>
      <c r="G99" s="5">
        <f>flavio_2023_mar_events[[#This Row],[calendar_owner_email]]-flavio_2023_mar_events[[#This Row],[calendar_owner_name]]</f>
        <v>4.1666666671517305E-2</v>
      </c>
      <c r="H99" s="2" t="s">
        <v>21</v>
      </c>
      <c r="I99" s="2" t="s">
        <v>10</v>
      </c>
      <c r="J99" s="2" t="s">
        <v>10</v>
      </c>
      <c r="K99" s="2" t="s">
        <v>10</v>
      </c>
      <c r="L99" s="2" t="s">
        <v>10</v>
      </c>
      <c r="M99" s="2" t="s">
        <v>10</v>
      </c>
    </row>
    <row r="100" spans="1:13" hidden="1" x14ac:dyDescent="0.35">
      <c r="A100" s="1">
        <v>45015.510416666664</v>
      </c>
      <c r="B100" s="1">
        <v>45015.552083333336</v>
      </c>
      <c r="C100">
        <v>10</v>
      </c>
      <c r="D100" t="s">
        <v>143</v>
      </c>
      <c r="E100" t="str">
        <f>VLOOKUP(flavio_2023_mar_events[[#This Row],[filter]],Filtros,2,0)</f>
        <v>BizDevs</v>
      </c>
      <c r="F100" t="str" cm="1">
        <f t="array" ref="F100">IF(flavio_2023_mar_events[[#This Row],[filter]]="C",LocalizarCliente(flavio_2023_mar_events[[#This Row],[end_date]]),"--")</f>
        <v>--</v>
      </c>
      <c r="G100" s="5">
        <f>flavio_2023_mar_events[[#This Row],[calendar_owner_email]]-flavio_2023_mar_events[[#This Row],[calendar_owner_name]]</f>
        <v>4.1666666671517305E-2</v>
      </c>
      <c r="H100" s="2" t="s">
        <v>21</v>
      </c>
      <c r="I100" s="2" t="s">
        <v>10</v>
      </c>
      <c r="J100" s="2" t="s">
        <v>10</v>
      </c>
      <c r="K100" s="2" t="s">
        <v>10</v>
      </c>
      <c r="L100" s="2" t="s">
        <v>10</v>
      </c>
      <c r="M100" s="2" t="s">
        <v>10</v>
      </c>
    </row>
    <row r="101" spans="1:13" hidden="1" x14ac:dyDescent="0.35">
      <c r="A101" s="1">
        <v>45008.625</v>
      </c>
      <c r="B101" s="1">
        <v>45008.666666666664</v>
      </c>
      <c r="C101">
        <v>10</v>
      </c>
      <c r="D101">
        <v>0</v>
      </c>
      <c r="E101" t="str">
        <f>VLOOKUP(flavio_2023_mar_events[[#This Row],[filter]],Filtros,2,0)</f>
        <v>Nulo</v>
      </c>
      <c r="F101" t="str" cm="1">
        <f t="array" ref="F101">IF(flavio_2023_mar_events[[#This Row],[filter]]="C",LocalizarCliente(flavio_2023_mar_events[[#This Row],[end_date]]),"--")</f>
        <v>--</v>
      </c>
      <c r="G101" s="5">
        <f>flavio_2023_mar_events[[#This Row],[calendar_owner_email]]-flavio_2023_mar_events[[#This Row],[calendar_owner_name]]</f>
        <v>4.1666666664241347E-2</v>
      </c>
      <c r="H101" s="2" t="s">
        <v>103</v>
      </c>
      <c r="I101" s="2" t="s">
        <v>10</v>
      </c>
      <c r="J101" s="2" t="s">
        <v>10</v>
      </c>
      <c r="K101" s="2" t="s">
        <v>10</v>
      </c>
      <c r="L101" s="2" t="s">
        <v>10</v>
      </c>
      <c r="M101" s="2" t="s">
        <v>10</v>
      </c>
    </row>
    <row r="102" spans="1:13" hidden="1" x14ac:dyDescent="0.35">
      <c r="A102" s="1">
        <v>45008.583333333336</v>
      </c>
      <c r="B102" s="1">
        <v>45008.625</v>
      </c>
      <c r="C102">
        <v>10</v>
      </c>
      <c r="D102">
        <v>0</v>
      </c>
      <c r="E102" t="str">
        <f>VLOOKUP(flavio_2023_mar_events[[#This Row],[filter]],Filtros,2,0)</f>
        <v>Nulo</v>
      </c>
      <c r="F102" t="str" cm="1">
        <f t="array" ref="F102">IF(flavio_2023_mar_events[[#This Row],[filter]]="C",LocalizarCliente(flavio_2023_mar_events[[#This Row],[end_date]]),"--")</f>
        <v>--</v>
      </c>
      <c r="G102" s="5">
        <f>flavio_2023_mar_events[[#This Row],[calendar_owner_email]]-flavio_2023_mar_events[[#This Row],[calendar_owner_name]]</f>
        <v>4.1666666664241347E-2</v>
      </c>
      <c r="H102" s="2" t="s">
        <v>102</v>
      </c>
      <c r="I102" s="2" t="s">
        <v>10</v>
      </c>
      <c r="J102" s="2" t="s">
        <v>10</v>
      </c>
      <c r="K102" s="2" t="s">
        <v>10</v>
      </c>
      <c r="L102" s="2" t="s">
        <v>10</v>
      </c>
      <c r="M102" s="2" t="s">
        <v>10</v>
      </c>
    </row>
    <row r="103" spans="1:13" hidden="1" x14ac:dyDescent="0.35">
      <c r="A103" s="1">
        <v>45001.604166666664</v>
      </c>
      <c r="B103" s="1">
        <v>45001.625</v>
      </c>
      <c r="C103">
        <v>5</v>
      </c>
      <c r="D103">
        <v>0</v>
      </c>
      <c r="E103" t="str">
        <f>VLOOKUP(flavio_2023_mar_events[[#This Row],[filter]],Filtros,2,0)</f>
        <v>Nulo</v>
      </c>
      <c r="F103" t="str" cm="1">
        <f t="array" ref="F103">IF(flavio_2023_mar_events[[#This Row],[filter]]="C",LocalizarCliente(flavio_2023_mar_events[[#This Row],[end_date]]),"--")</f>
        <v>--</v>
      </c>
      <c r="G103" s="5">
        <f>flavio_2023_mar_events[[#This Row],[calendar_owner_email]]-flavio_2023_mar_events[[#This Row],[calendar_owner_name]]</f>
        <v>2.0833333335758653E-2</v>
      </c>
      <c r="H103" s="2" t="s">
        <v>78</v>
      </c>
      <c r="I103" s="2" t="s">
        <v>10</v>
      </c>
      <c r="J103" s="2" t="s">
        <v>10</v>
      </c>
      <c r="K103" s="2" t="s">
        <v>10</v>
      </c>
      <c r="L103" s="2" t="s">
        <v>10</v>
      </c>
      <c r="M103" s="2" t="s">
        <v>10</v>
      </c>
    </row>
    <row r="104" spans="1:13" hidden="1" x14ac:dyDescent="0.35">
      <c r="A104" s="1">
        <v>45005.604166666664</v>
      </c>
      <c r="B104" s="1">
        <v>45005.625</v>
      </c>
      <c r="C104">
        <v>5</v>
      </c>
      <c r="D104" t="s">
        <v>134</v>
      </c>
      <c r="E104" t="str">
        <f>VLOOKUP(flavio_2023_mar_events[[#This Row],[filter]],Filtros,2,0)</f>
        <v>Open Banking</v>
      </c>
      <c r="F104" t="str" cm="1">
        <f t="array" ref="F104">IF(flavio_2023_mar_events[[#This Row],[filter]]="C",LocalizarCliente(flavio_2023_mar_events[[#This Row],[end_date]]),"--")</f>
        <v>--</v>
      </c>
      <c r="G104" s="5">
        <f>flavio_2023_mar_events[[#This Row],[calendar_owner_email]]-flavio_2023_mar_events[[#This Row],[calendar_owner_name]]</f>
        <v>2.0833333335758653E-2</v>
      </c>
      <c r="H104" s="2" t="s">
        <v>91</v>
      </c>
      <c r="I104" s="2" t="s">
        <v>10</v>
      </c>
      <c r="J104" s="2" t="s">
        <v>10</v>
      </c>
      <c r="K104" s="2" t="s">
        <v>10</v>
      </c>
      <c r="L104" s="2" t="s">
        <v>10</v>
      </c>
      <c r="M104" s="2" t="s">
        <v>10</v>
      </c>
    </row>
    <row r="105" spans="1:13" hidden="1" x14ac:dyDescent="0.35">
      <c r="A105" s="1">
        <v>44992.479166666664</v>
      </c>
      <c r="B105" s="1">
        <v>44992.5</v>
      </c>
      <c r="C105">
        <v>5</v>
      </c>
      <c r="D105" t="s">
        <v>136</v>
      </c>
      <c r="E105" t="str">
        <f>VLOOKUP(flavio_2023_mar_events[[#This Row],[filter]],Filtros,2,0)</f>
        <v>Cliente</v>
      </c>
      <c r="F105" t="str" cm="1">
        <f t="array" ref="F105">IF(flavio_2023_mar_events[[#This Row],[filter]]="C",LocalizarCliente(flavio_2023_mar_events[[#This Row],[end_date]]),"--")</f>
        <v>Flavio / Renan</v>
      </c>
      <c r="G105" s="5">
        <f>flavio_2023_mar_events[[#This Row],[calendar_owner_email]]-flavio_2023_mar_events[[#This Row],[calendar_owner_name]]</f>
        <v>2.0833333335758653E-2</v>
      </c>
      <c r="H105" s="2" t="s">
        <v>43</v>
      </c>
      <c r="I105" s="2" t="s">
        <v>10</v>
      </c>
      <c r="J105" s="2" t="s">
        <v>10</v>
      </c>
      <c r="K105" s="2" t="s">
        <v>10</v>
      </c>
      <c r="L105" s="2" t="s">
        <v>10</v>
      </c>
      <c r="M105" s="2" t="s">
        <v>10</v>
      </c>
    </row>
    <row r="106" spans="1:13" hidden="1" x14ac:dyDescent="0.35">
      <c r="A106" s="1">
        <v>44999.666666666664</v>
      </c>
      <c r="B106" s="1">
        <v>44999.6875</v>
      </c>
      <c r="C106">
        <v>5</v>
      </c>
      <c r="D106">
        <v>0</v>
      </c>
      <c r="E106" t="str">
        <f>VLOOKUP(flavio_2023_mar_events[[#This Row],[filter]],Filtros,2,0)</f>
        <v>Nulo</v>
      </c>
      <c r="F106" t="str" cm="1">
        <f t="array" ref="F106">IF(flavio_2023_mar_events[[#This Row],[filter]]="C",LocalizarCliente(flavio_2023_mar_events[[#This Row],[end_date]]),"--")</f>
        <v>--</v>
      </c>
      <c r="G106" s="5">
        <f>flavio_2023_mar_events[[#This Row],[calendar_owner_email]]-flavio_2023_mar_events[[#This Row],[calendar_owner_name]]</f>
        <v>2.0833333335758653E-2</v>
      </c>
      <c r="H106" s="2" t="s">
        <v>43</v>
      </c>
      <c r="I106" s="2" t="s">
        <v>10</v>
      </c>
      <c r="J106" s="2" t="s">
        <v>10</v>
      </c>
      <c r="K106" s="2" t="s">
        <v>10</v>
      </c>
      <c r="L106" s="2" t="s">
        <v>10</v>
      </c>
      <c r="M106" s="2" t="s">
        <v>10</v>
      </c>
    </row>
    <row r="107" spans="1:13" hidden="1" x14ac:dyDescent="0.35">
      <c r="A107" s="1">
        <v>45006.479166666664</v>
      </c>
      <c r="B107" s="1">
        <v>45006.5</v>
      </c>
      <c r="C107">
        <v>5</v>
      </c>
      <c r="D107">
        <v>0</v>
      </c>
      <c r="E107" t="str">
        <f>VLOOKUP(flavio_2023_mar_events[[#This Row],[filter]],Filtros,2,0)</f>
        <v>Nulo</v>
      </c>
      <c r="F107" t="str" cm="1">
        <f t="array" ref="F107">IF(flavio_2023_mar_events[[#This Row],[filter]]="C",LocalizarCliente(flavio_2023_mar_events[[#This Row],[end_date]]),"--")</f>
        <v>--</v>
      </c>
      <c r="G107" s="5">
        <f>flavio_2023_mar_events[[#This Row],[calendar_owner_email]]-flavio_2023_mar_events[[#This Row],[calendar_owner_name]]</f>
        <v>2.0833333335758653E-2</v>
      </c>
      <c r="H107" s="2" t="s">
        <v>43</v>
      </c>
      <c r="I107" s="2" t="s">
        <v>10</v>
      </c>
      <c r="J107" s="2" t="s">
        <v>10</v>
      </c>
      <c r="K107" s="2" t="s">
        <v>10</v>
      </c>
      <c r="L107" s="2" t="s">
        <v>10</v>
      </c>
      <c r="M107" s="2" t="s">
        <v>10</v>
      </c>
    </row>
    <row r="108" spans="1:13" hidden="1" x14ac:dyDescent="0.35">
      <c r="A108" s="1">
        <v>45013.479166666664</v>
      </c>
      <c r="B108" s="1">
        <v>45013.5</v>
      </c>
      <c r="C108">
        <v>5</v>
      </c>
      <c r="D108" t="s">
        <v>136</v>
      </c>
      <c r="E108" t="str">
        <f>VLOOKUP(flavio_2023_mar_events[[#This Row],[filter]],Filtros,2,0)</f>
        <v>Cliente</v>
      </c>
      <c r="F108" t="str" cm="1">
        <f t="array" ref="F108">IF(flavio_2023_mar_events[[#This Row],[filter]]="C",LocalizarCliente(flavio_2023_mar_events[[#This Row],[end_date]]),"--")</f>
        <v>Flavio / Renan</v>
      </c>
      <c r="G108" s="5">
        <f>flavio_2023_mar_events[[#This Row],[calendar_owner_email]]-flavio_2023_mar_events[[#This Row],[calendar_owner_name]]</f>
        <v>2.0833333335758653E-2</v>
      </c>
      <c r="H108" s="2" t="s">
        <v>43</v>
      </c>
      <c r="I108" s="2" t="s">
        <v>10</v>
      </c>
      <c r="J108" s="2" t="s">
        <v>10</v>
      </c>
      <c r="K108" s="2" t="s">
        <v>10</v>
      </c>
      <c r="L108" s="2" t="s">
        <v>10</v>
      </c>
      <c r="M108" s="2" t="s">
        <v>10</v>
      </c>
    </row>
    <row r="109" spans="1:13" hidden="1" x14ac:dyDescent="0.35">
      <c r="A109" s="1">
        <v>45001.395833333336</v>
      </c>
      <c r="B109" s="1">
        <v>45001.416666666664</v>
      </c>
      <c r="C109">
        <v>5</v>
      </c>
      <c r="D109" t="s">
        <v>136</v>
      </c>
      <c r="E109" t="str">
        <f>VLOOKUP(flavio_2023_mar_events[[#This Row],[filter]],Filtros,2,0)</f>
        <v>Cliente</v>
      </c>
      <c r="F109" t="str" cm="1">
        <f t="array" ref="F109">IF(flavio_2023_mar_events[[#This Row],[filter]]="C",LocalizarCliente(flavio_2023_mar_events[[#This Row],[end_date]]),"--")</f>
        <v>Flavio Nunes / Joao</v>
      </c>
      <c r="G109" s="5">
        <f>flavio_2023_mar_events[[#This Row],[calendar_owner_email]]-flavio_2023_mar_events[[#This Row],[calendar_owner_name]]</f>
        <v>2.0833333328482695E-2</v>
      </c>
      <c r="H109" s="2" t="s">
        <v>76</v>
      </c>
      <c r="I109" s="2" t="s">
        <v>10</v>
      </c>
      <c r="J109" s="2" t="s">
        <v>10</v>
      </c>
      <c r="K109" s="2" t="s">
        <v>10</v>
      </c>
      <c r="L109" s="2" t="s">
        <v>10</v>
      </c>
      <c r="M109" s="2" t="s">
        <v>10</v>
      </c>
    </row>
    <row r="110" spans="1:13" hidden="1" x14ac:dyDescent="0.35">
      <c r="A110" s="1">
        <v>44993.395833333336</v>
      </c>
      <c r="B110" s="1">
        <v>44993.427083333336</v>
      </c>
      <c r="C110">
        <v>75</v>
      </c>
      <c r="D110" t="s">
        <v>143</v>
      </c>
      <c r="E110" t="str">
        <f>VLOOKUP(flavio_2023_mar_events[[#This Row],[filter]],Filtros,2,0)</f>
        <v>BizDevs</v>
      </c>
      <c r="F110" t="str" cm="1">
        <f t="array" ref="F110">IF(flavio_2023_mar_events[[#This Row],[filter]]="C",LocalizarCliente(flavio_2023_mar_events[[#This Row],[end_date]]),"--")</f>
        <v>--</v>
      </c>
      <c r="G110" s="5">
        <f>flavio_2023_mar_events[[#This Row],[calendar_owner_email]]-flavio_2023_mar_events[[#This Row],[calendar_owner_name]]</f>
        <v>3.125E-2</v>
      </c>
      <c r="H110" s="2" t="s">
        <v>46</v>
      </c>
      <c r="I110" s="2" t="s">
        <v>10</v>
      </c>
      <c r="J110" s="2" t="s">
        <v>10</v>
      </c>
      <c r="K110" s="2" t="s">
        <v>10</v>
      </c>
      <c r="L110" s="2" t="s">
        <v>10</v>
      </c>
      <c r="M110" s="2" t="s">
        <v>10</v>
      </c>
    </row>
    <row r="111" spans="1:13" hidden="1" x14ac:dyDescent="0.35">
      <c r="A111" s="1">
        <v>45015.583333333336</v>
      </c>
      <c r="B111" s="1">
        <v>45015.666666666664</v>
      </c>
      <c r="C111">
        <v>20</v>
      </c>
      <c r="D111" t="s">
        <v>143</v>
      </c>
      <c r="E111" t="str">
        <f>VLOOKUP(flavio_2023_mar_events[[#This Row],[filter]],Filtros,2,0)</f>
        <v>BizDevs</v>
      </c>
      <c r="F111" t="str" cm="1">
        <f t="array" ref="F111">IF(flavio_2023_mar_events[[#This Row],[filter]]="C",LocalizarCliente(flavio_2023_mar_events[[#This Row],[end_date]]),"--")</f>
        <v>--</v>
      </c>
      <c r="G111" s="5">
        <f>flavio_2023_mar_events[[#This Row],[calendar_owner_email]]-flavio_2023_mar_events[[#This Row],[calendar_owner_name]]</f>
        <v>8.3333333328482695E-2</v>
      </c>
      <c r="H111" s="2" t="s">
        <v>125</v>
      </c>
      <c r="I111" s="2" t="s">
        <v>10</v>
      </c>
      <c r="J111" s="2" t="s">
        <v>10</v>
      </c>
      <c r="K111" s="2" t="s">
        <v>10</v>
      </c>
      <c r="L111" s="2" t="s">
        <v>10</v>
      </c>
      <c r="M111" s="2" t="s">
        <v>10</v>
      </c>
    </row>
    <row r="112" spans="1:13" hidden="1" x14ac:dyDescent="0.35">
      <c r="A112" s="1">
        <v>44991.395833333336</v>
      </c>
      <c r="B112" s="1">
        <v>44991.479166666664</v>
      </c>
      <c r="C112">
        <v>20</v>
      </c>
      <c r="D112">
        <v>0</v>
      </c>
      <c r="E112" t="str">
        <f>VLOOKUP(flavio_2023_mar_events[[#This Row],[filter]],Filtros,2,0)</f>
        <v>Nulo</v>
      </c>
      <c r="F112" t="str" cm="1">
        <f t="array" ref="F112">IF(flavio_2023_mar_events[[#This Row],[filter]]="C",LocalizarCliente(flavio_2023_mar_events[[#This Row],[end_date]]),"--")</f>
        <v>--</v>
      </c>
      <c r="G112" s="5">
        <f>flavio_2023_mar_events[[#This Row],[calendar_owner_email]]-flavio_2023_mar_events[[#This Row],[calendar_owner_name]]</f>
        <v>8.3333333328482695E-2</v>
      </c>
      <c r="H112" s="2" t="s">
        <v>32</v>
      </c>
      <c r="I112" s="2" t="s">
        <v>10</v>
      </c>
      <c r="J112" s="2" t="s">
        <v>10</v>
      </c>
      <c r="K112" s="2" t="s">
        <v>10</v>
      </c>
      <c r="L112" s="2" t="s">
        <v>10</v>
      </c>
      <c r="M112" s="2" t="s">
        <v>10</v>
      </c>
    </row>
    <row r="113" spans="1:13" hidden="1" x14ac:dyDescent="0.35">
      <c r="A113" s="1">
        <v>44994.375</v>
      </c>
      <c r="B113" s="1">
        <v>44994.416666666664</v>
      </c>
      <c r="C113">
        <v>10</v>
      </c>
      <c r="D113" t="s">
        <v>136</v>
      </c>
      <c r="E113" t="str">
        <f>VLOOKUP(flavio_2023_mar_events[[#This Row],[filter]],Filtros,2,0)</f>
        <v>Cliente</v>
      </c>
      <c r="F113" t="str" cm="1">
        <f t="array" ref="F113">IF(flavio_2023_mar_events[[#This Row],[filter]]="C",LocalizarCliente(flavio_2023_mar_events[[#This Row],[end_date]]),"--")</f>
        <v>Fora do escritório</v>
      </c>
      <c r="G113" s="5">
        <f>flavio_2023_mar_events[[#This Row],[calendar_owner_email]]-flavio_2023_mar_events[[#This Row],[calendar_owner_name]]</f>
        <v>4.1666666664241347E-2</v>
      </c>
      <c r="H113" s="2" t="s">
        <v>48</v>
      </c>
      <c r="I113" s="2" t="s">
        <v>10</v>
      </c>
      <c r="J113" s="2" t="s">
        <v>10</v>
      </c>
      <c r="K113" s="2" t="s">
        <v>10</v>
      </c>
      <c r="L113" s="2" t="s">
        <v>10</v>
      </c>
      <c r="M113" s="2" t="s">
        <v>10</v>
      </c>
    </row>
    <row r="114" spans="1:13" hidden="1" x14ac:dyDescent="0.35">
      <c r="A114" s="1">
        <v>45006.4375</v>
      </c>
      <c r="B114" s="1">
        <v>45006.5625</v>
      </c>
      <c r="C114">
        <v>30</v>
      </c>
      <c r="D114">
        <v>0</v>
      </c>
      <c r="E114" t="str">
        <f>VLOOKUP(flavio_2023_mar_events[[#This Row],[filter]],Filtros,2,0)</f>
        <v>Nulo</v>
      </c>
      <c r="F114" t="str" cm="1">
        <f t="array" ref="F114">IF(flavio_2023_mar_events[[#This Row],[filter]]="C",LocalizarCliente(flavio_2023_mar_events[[#This Row],[end_date]]),"--")</f>
        <v>--</v>
      </c>
      <c r="G114" s="5">
        <f>flavio_2023_mar_events[[#This Row],[calendar_owner_email]]-flavio_2023_mar_events[[#This Row],[calendar_owner_name]]</f>
        <v>0.125</v>
      </c>
      <c r="H114" s="2" t="s">
        <v>95</v>
      </c>
      <c r="I114" s="2" t="s">
        <v>10</v>
      </c>
      <c r="J114" s="2" t="s">
        <v>10</v>
      </c>
      <c r="K114" s="2" t="s">
        <v>10</v>
      </c>
      <c r="L114" s="2" t="s">
        <v>10</v>
      </c>
      <c r="M114" s="2" t="s">
        <v>10</v>
      </c>
    </row>
    <row r="115" spans="1:13" hidden="1" x14ac:dyDescent="0.35">
      <c r="A115" s="1">
        <v>45012</v>
      </c>
      <c r="B115" s="1">
        <v>45013</v>
      </c>
      <c r="C115">
        <v>240</v>
      </c>
      <c r="D115">
        <v>0</v>
      </c>
      <c r="E115" t="str">
        <f>VLOOKUP(flavio_2023_mar_events[[#This Row],[filter]],Filtros,2,0)</f>
        <v>Nulo</v>
      </c>
      <c r="F115" t="str" cm="1">
        <f t="array" ref="F115">IF(flavio_2023_mar_events[[#This Row],[filter]]="C",LocalizarCliente(flavio_2023_mar_events[[#This Row],[end_date]]),"--")</f>
        <v>--</v>
      </c>
      <c r="G115" s="5">
        <f>flavio_2023_mar_events[[#This Row],[calendar_owner_email]]-flavio_2023_mar_events[[#This Row],[calendar_owner_name]]</f>
        <v>1</v>
      </c>
      <c r="H115" s="2" t="s">
        <v>111</v>
      </c>
      <c r="I115" s="2" t="s">
        <v>10</v>
      </c>
      <c r="J115" s="2" t="s">
        <v>10</v>
      </c>
      <c r="K115" s="2" t="s">
        <v>10</v>
      </c>
      <c r="L115" s="2" t="s">
        <v>10</v>
      </c>
      <c r="M115" s="2" t="s">
        <v>10</v>
      </c>
    </row>
    <row r="116" spans="1:13" hidden="1" x14ac:dyDescent="0.35">
      <c r="A116" s="1">
        <v>45008.666666666664</v>
      </c>
      <c r="B116" s="1">
        <v>45008.708333333336</v>
      </c>
      <c r="C116">
        <v>10</v>
      </c>
      <c r="D116">
        <v>0</v>
      </c>
      <c r="E116" t="str">
        <f>VLOOKUP(flavio_2023_mar_events[[#This Row],[filter]],Filtros,2,0)</f>
        <v>Nulo</v>
      </c>
      <c r="F116" t="str" cm="1">
        <f t="array" ref="F116">IF(flavio_2023_mar_events[[#This Row],[filter]]="C",LocalizarCliente(flavio_2023_mar_events[[#This Row],[end_date]]),"--")</f>
        <v>--</v>
      </c>
      <c r="G116" s="5">
        <f>flavio_2023_mar_events[[#This Row],[calendar_owner_email]]-flavio_2023_mar_events[[#This Row],[calendar_owner_name]]</f>
        <v>4.1666666671517305E-2</v>
      </c>
      <c r="H116" s="2" t="s">
        <v>104</v>
      </c>
      <c r="I116" s="2" t="s">
        <v>10</v>
      </c>
      <c r="J116" s="2" t="s">
        <v>10</v>
      </c>
      <c r="K116" s="2" t="s">
        <v>10</v>
      </c>
      <c r="L116" s="2" t="s">
        <v>10</v>
      </c>
      <c r="M116" s="2" t="s">
        <v>10</v>
      </c>
    </row>
    <row r="117" spans="1:13" x14ac:dyDescent="0.35">
      <c r="A117" s="1">
        <v>45009.458333333336</v>
      </c>
      <c r="B117" s="1">
        <v>45009.479166666664</v>
      </c>
      <c r="C117">
        <v>5</v>
      </c>
      <c r="D117" t="s">
        <v>135</v>
      </c>
      <c r="E117" t="str">
        <f>VLOOKUP(flavio_2023_mar_events[[#This Row],[filter]],Filtros,2,0)</f>
        <v>Education</v>
      </c>
      <c r="F117" t="str" cm="1">
        <f t="array" ref="F117">IF(flavio_2023_mar_events[[#This Row],[filter]]="C",LocalizarCliente(flavio_2023_mar_events[[#This Row],[end_date]]),"--")</f>
        <v>--</v>
      </c>
      <c r="G117" s="5">
        <f>flavio_2023_mar_events[[#This Row],[calendar_owner_email]]-flavio_2023_mar_events[[#This Row],[calendar_owner_name]]</f>
        <v>2.0833333328482695E-2</v>
      </c>
      <c r="H117" s="2" t="s">
        <v>107</v>
      </c>
      <c r="I117" s="2" t="s">
        <v>10</v>
      </c>
      <c r="J117" s="2" t="s">
        <v>10</v>
      </c>
      <c r="K117" s="2" t="s">
        <v>10</v>
      </c>
      <c r="L117" s="2" t="s">
        <v>10</v>
      </c>
      <c r="M117" s="2" t="s">
        <v>10</v>
      </c>
    </row>
    <row r="118" spans="1:13" hidden="1" x14ac:dyDescent="0.35">
      <c r="A118" s="1">
        <v>45016.40625</v>
      </c>
      <c r="B118" s="1">
        <v>45016.427083333336</v>
      </c>
      <c r="C118">
        <v>5</v>
      </c>
      <c r="D118" t="s">
        <v>141</v>
      </c>
      <c r="E118" t="str">
        <f>VLOOKUP(flavio_2023_mar_events[[#This Row],[filter]],Filtros,2,0)</f>
        <v>Solutions</v>
      </c>
      <c r="F118" t="str" cm="1">
        <f t="array" ref="F118">IF(flavio_2023_mar_events[[#This Row],[filter]]="C",LocalizarCliente(flavio_2023_mar_events[[#This Row],[end_date]]),"--")</f>
        <v>--</v>
      </c>
      <c r="G118" s="5">
        <f>flavio_2023_mar_events[[#This Row],[calendar_owner_email]]-flavio_2023_mar_events[[#This Row],[calendar_owner_name]]</f>
        <v>2.0833333335758653E-2</v>
      </c>
      <c r="H118" s="2" t="s">
        <v>129</v>
      </c>
      <c r="I118" s="2" t="s">
        <v>10</v>
      </c>
      <c r="J118" s="2" t="s">
        <v>10</v>
      </c>
      <c r="K118" s="2" t="s">
        <v>10</v>
      </c>
      <c r="L118" s="2" t="s">
        <v>10</v>
      </c>
      <c r="M118" s="2" t="s">
        <v>10</v>
      </c>
    </row>
    <row r="119" spans="1:13" hidden="1" x14ac:dyDescent="0.35">
      <c r="A119" s="1">
        <v>45014.708333333336</v>
      </c>
      <c r="B119" s="1">
        <v>45014.739583333336</v>
      </c>
      <c r="C119">
        <v>75</v>
      </c>
      <c r="D119">
        <v>0</v>
      </c>
      <c r="E119" t="str">
        <f>VLOOKUP(flavio_2023_mar_events[[#This Row],[filter]],Filtros,2,0)</f>
        <v>Nulo</v>
      </c>
      <c r="F119" t="str" cm="1">
        <f t="array" ref="F119">IF(flavio_2023_mar_events[[#This Row],[filter]]="C",LocalizarCliente(flavio_2023_mar_events[[#This Row],[end_date]]),"--")</f>
        <v>--</v>
      </c>
      <c r="G119" s="5">
        <f>flavio_2023_mar_events[[#This Row],[calendar_owner_email]]-flavio_2023_mar_events[[#This Row],[calendar_owner_name]]</f>
        <v>3.125E-2</v>
      </c>
      <c r="H119" s="2" t="s">
        <v>122</v>
      </c>
      <c r="I119" s="2" t="s">
        <v>10</v>
      </c>
      <c r="J119" s="2" t="s">
        <v>10</v>
      </c>
      <c r="K119" s="2" t="s">
        <v>10</v>
      </c>
      <c r="L119" s="2" t="s">
        <v>10</v>
      </c>
      <c r="M119" s="2" t="s">
        <v>10</v>
      </c>
    </row>
    <row r="120" spans="1:13" hidden="1" x14ac:dyDescent="0.35">
      <c r="A120" s="1">
        <v>45015.583333333336</v>
      </c>
      <c r="B120" s="1">
        <v>45015.625</v>
      </c>
      <c r="C120">
        <v>10</v>
      </c>
      <c r="D120">
        <v>0</v>
      </c>
      <c r="E120" t="str">
        <f>VLOOKUP(flavio_2023_mar_events[[#This Row],[filter]],Filtros,2,0)</f>
        <v>Nulo</v>
      </c>
      <c r="F120" t="str" cm="1">
        <f t="array" ref="F120">IF(flavio_2023_mar_events[[#This Row],[filter]]="C",LocalizarCliente(flavio_2023_mar_events[[#This Row],[end_date]]),"--")</f>
        <v>--</v>
      </c>
      <c r="G120" s="5">
        <f>flavio_2023_mar_events[[#This Row],[calendar_owner_email]]-flavio_2023_mar_events[[#This Row],[calendar_owner_name]]</f>
        <v>4.1666666664241347E-2</v>
      </c>
      <c r="H120" s="2" t="s">
        <v>126</v>
      </c>
      <c r="I120" s="2" t="s">
        <v>10</v>
      </c>
      <c r="J120" s="2" t="s">
        <v>10</v>
      </c>
      <c r="K120" s="2" t="s">
        <v>10</v>
      </c>
      <c r="L120" s="2" t="s">
        <v>10</v>
      </c>
      <c r="M120" s="2" t="s">
        <v>10</v>
      </c>
    </row>
    <row r="121" spans="1:13" hidden="1" x14ac:dyDescent="0.35">
      <c r="A121" s="1">
        <v>45013.625</v>
      </c>
      <c r="B121" s="1">
        <v>45013.666666666664</v>
      </c>
      <c r="C121">
        <v>10</v>
      </c>
      <c r="D121" t="s">
        <v>141</v>
      </c>
      <c r="E121" t="str">
        <f>VLOOKUP(flavio_2023_mar_events[[#This Row],[filter]],Filtros,2,0)</f>
        <v>Solutions</v>
      </c>
      <c r="F121" t="str" cm="1">
        <f t="array" ref="F121">IF(flavio_2023_mar_events[[#This Row],[filter]]="C",LocalizarCliente(flavio_2023_mar_events[[#This Row],[end_date]]),"--")</f>
        <v>--</v>
      </c>
      <c r="G121" s="5">
        <f>flavio_2023_mar_events[[#This Row],[calendar_owner_email]]-flavio_2023_mar_events[[#This Row],[calendar_owner_name]]</f>
        <v>4.1666666664241347E-2</v>
      </c>
      <c r="H121" s="2" t="s">
        <v>117</v>
      </c>
      <c r="I121" s="2" t="s">
        <v>10</v>
      </c>
      <c r="J121" s="2" t="s">
        <v>10</v>
      </c>
      <c r="K121" s="2" t="s">
        <v>10</v>
      </c>
      <c r="L121" s="2" t="s">
        <v>10</v>
      </c>
      <c r="M121" s="2" t="s">
        <v>10</v>
      </c>
    </row>
    <row r="122" spans="1:13" hidden="1" x14ac:dyDescent="0.35">
      <c r="A122" s="1">
        <v>44995.6875</v>
      </c>
      <c r="B122" s="1">
        <v>44995.708333333336</v>
      </c>
      <c r="C122">
        <v>5</v>
      </c>
      <c r="D122" t="s">
        <v>141</v>
      </c>
      <c r="E122" t="str">
        <f>VLOOKUP(flavio_2023_mar_events[[#This Row],[filter]],Filtros,2,0)</f>
        <v>Solutions</v>
      </c>
      <c r="F122" t="str" cm="1">
        <f t="array" ref="F122">IF(flavio_2023_mar_events[[#This Row],[filter]]="C",LocalizarCliente(flavio_2023_mar_events[[#This Row],[end_date]]),"--")</f>
        <v>--</v>
      </c>
      <c r="G122" s="5">
        <f>flavio_2023_mar_events[[#This Row],[calendar_owner_email]]-flavio_2023_mar_events[[#This Row],[calendar_owner_name]]</f>
        <v>2.0833333335758653E-2</v>
      </c>
      <c r="H122" s="2" t="s">
        <v>61</v>
      </c>
      <c r="I122" s="2" t="s">
        <v>10</v>
      </c>
      <c r="J122" s="2" t="s">
        <v>10</v>
      </c>
      <c r="K122" s="2" t="s">
        <v>10</v>
      </c>
      <c r="L122" s="2" t="s">
        <v>10</v>
      </c>
      <c r="M122" s="2" t="s">
        <v>10</v>
      </c>
    </row>
    <row r="123" spans="1:13" hidden="1" x14ac:dyDescent="0.35">
      <c r="A123" s="1">
        <v>44994.666666666664</v>
      </c>
      <c r="B123" s="1">
        <v>44994.708333333336</v>
      </c>
      <c r="C123">
        <v>10</v>
      </c>
      <c r="D123" t="s">
        <v>144</v>
      </c>
      <c r="E123" t="str">
        <f>VLOOKUP(flavio_2023_mar_events[[#This Row],[filter]],Filtros,2,0)</f>
        <v>Parcerias</v>
      </c>
      <c r="F123" t="str" cm="1">
        <f t="array" ref="F123">IF(flavio_2023_mar_events[[#This Row],[filter]]="C",LocalizarCliente(flavio_2023_mar_events[[#This Row],[end_date]]),"--")</f>
        <v>--</v>
      </c>
      <c r="G123" s="5">
        <f>flavio_2023_mar_events[[#This Row],[calendar_owner_email]]-flavio_2023_mar_events[[#This Row],[calendar_owner_name]]</f>
        <v>4.1666666671517305E-2</v>
      </c>
      <c r="H123" s="2" t="s">
        <v>54</v>
      </c>
      <c r="I123" s="2" t="s">
        <v>10</v>
      </c>
      <c r="J123" s="2" t="s">
        <v>10</v>
      </c>
      <c r="K123" s="2" t="s">
        <v>10</v>
      </c>
      <c r="L123" s="2" t="s">
        <v>10</v>
      </c>
      <c r="M123" s="2" t="s">
        <v>10</v>
      </c>
    </row>
    <row r="124" spans="1:13" hidden="1" x14ac:dyDescent="0.35">
      <c r="A124" s="1">
        <v>45001.666666666664</v>
      </c>
      <c r="B124" s="1">
        <v>45001.708333333336</v>
      </c>
      <c r="C124">
        <v>10</v>
      </c>
      <c r="D124" t="s">
        <v>136</v>
      </c>
      <c r="E124" t="str">
        <f>VLOOKUP(flavio_2023_mar_events[[#This Row],[filter]],Filtros,2,0)</f>
        <v>Cliente</v>
      </c>
      <c r="F124" t="str" cm="1">
        <f t="array" ref="F124">IF(flavio_2023_mar_events[[#This Row],[filter]]="C",LocalizarCliente(flavio_2023_mar_events[[#This Row],[end_date]]),"--")</f>
        <v>Open Education Checkpoint</v>
      </c>
      <c r="G124" s="5">
        <f>flavio_2023_mar_events[[#This Row],[calendar_owner_email]]-flavio_2023_mar_events[[#This Row],[calendar_owner_name]]</f>
        <v>4.1666666671517305E-2</v>
      </c>
      <c r="H124" s="2" t="s">
        <v>54</v>
      </c>
      <c r="I124" s="2" t="s">
        <v>10</v>
      </c>
      <c r="J124" s="2" t="s">
        <v>10</v>
      </c>
      <c r="K124" s="2" t="s">
        <v>10</v>
      </c>
      <c r="L124" s="2" t="s">
        <v>10</v>
      </c>
      <c r="M124" s="2" t="s">
        <v>10</v>
      </c>
    </row>
    <row r="125" spans="1:13" hidden="1" x14ac:dyDescent="0.35">
      <c r="A125" s="1">
        <v>45008.666666666664</v>
      </c>
      <c r="B125" s="1">
        <v>45008.708333333336</v>
      </c>
      <c r="C125">
        <v>10</v>
      </c>
      <c r="D125" t="s">
        <v>136</v>
      </c>
      <c r="E125" t="str">
        <f>VLOOKUP(flavio_2023_mar_events[[#This Row],[filter]],Filtros,2,0)</f>
        <v>Cliente</v>
      </c>
      <c r="F125" t="str" cm="1">
        <f t="array" ref="F125">IF(flavio_2023_mar_events[[#This Row],[filter]]="C",LocalizarCliente(flavio_2023_mar_events[[#This Row],[end_date]]),"--")</f>
        <v>Open Education Checkpoint</v>
      </c>
      <c r="G125" s="5">
        <f>flavio_2023_mar_events[[#This Row],[calendar_owner_email]]-flavio_2023_mar_events[[#This Row],[calendar_owner_name]]</f>
        <v>4.1666666671517305E-2</v>
      </c>
      <c r="H125" s="2" t="s">
        <v>54</v>
      </c>
      <c r="I125" s="2" t="s">
        <v>10</v>
      </c>
      <c r="J125" s="2" t="s">
        <v>10</v>
      </c>
      <c r="K125" s="2" t="s">
        <v>10</v>
      </c>
      <c r="L125" s="2" t="s">
        <v>10</v>
      </c>
      <c r="M125" s="2" t="s">
        <v>10</v>
      </c>
    </row>
    <row r="126" spans="1:13" hidden="1" x14ac:dyDescent="0.35">
      <c r="A126" s="1">
        <v>45015.666666666664</v>
      </c>
      <c r="B126" s="1">
        <v>45015.708333333336</v>
      </c>
      <c r="C126">
        <v>10</v>
      </c>
      <c r="D126" t="s">
        <v>141</v>
      </c>
      <c r="E126" t="str">
        <f>VLOOKUP(flavio_2023_mar_events[[#This Row],[filter]],Filtros,2,0)</f>
        <v>Solutions</v>
      </c>
      <c r="F126" t="str" cm="1">
        <f t="array" ref="F126">IF(flavio_2023_mar_events[[#This Row],[filter]]="C",LocalizarCliente(flavio_2023_mar_events[[#This Row],[end_date]]),"--")</f>
        <v>--</v>
      </c>
      <c r="G126" s="5">
        <f>flavio_2023_mar_events[[#This Row],[calendar_owner_email]]-flavio_2023_mar_events[[#This Row],[calendar_owner_name]]</f>
        <v>4.1666666671517305E-2</v>
      </c>
      <c r="H126" s="2" t="s">
        <v>54</v>
      </c>
      <c r="I126" s="2" t="s">
        <v>10</v>
      </c>
      <c r="J126" s="2" t="s">
        <v>10</v>
      </c>
      <c r="K126" s="2" t="s">
        <v>10</v>
      </c>
      <c r="L126" s="2" t="s">
        <v>10</v>
      </c>
      <c r="M126" s="2" t="s">
        <v>10</v>
      </c>
    </row>
    <row r="127" spans="1:13" hidden="1" x14ac:dyDescent="0.35">
      <c r="A127" s="1">
        <v>44986.458333333336</v>
      </c>
      <c r="B127" s="1">
        <v>44986.479166666664</v>
      </c>
      <c r="C127">
        <v>5</v>
      </c>
      <c r="D127">
        <v>0</v>
      </c>
      <c r="E127" t="str">
        <f>VLOOKUP(flavio_2023_mar_events[[#This Row],[filter]],Filtros,2,0)</f>
        <v>Nulo</v>
      </c>
      <c r="F127" t="str" cm="1">
        <f t="array" ref="F127">IF(flavio_2023_mar_events[[#This Row],[filter]]="C",LocalizarCliente(flavio_2023_mar_events[[#This Row],[end_date]]),"--")</f>
        <v>--</v>
      </c>
      <c r="G127" s="5">
        <f>flavio_2023_mar_events[[#This Row],[calendar_owner_email]]-flavio_2023_mar_events[[#This Row],[calendar_owner_name]]</f>
        <v>2.0833333328482695E-2</v>
      </c>
      <c r="H127" s="2" t="s">
        <v>13</v>
      </c>
      <c r="I127" s="2" t="s">
        <v>10</v>
      </c>
      <c r="J127" s="2" t="s">
        <v>10</v>
      </c>
      <c r="K127" s="2" t="s">
        <v>10</v>
      </c>
      <c r="L127" s="2" t="s">
        <v>10</v>
      </c>
      <c r="M127" s="2" t="s">
        <v>10</v>
      </c>
    </row>
    <row r="128" spans="1:13" hidden="1" x14ac:dyDescent="0.35">
      <c r="A128" s="1">
        <v>44993.458333333336</v>
      </c>
      <c r="B128" s="1">
        <v>44993.479166666664</v>
      </c>
      <c r="C128">
        <v>5</v>
      </c>
      <c r="D128" t="s">
        <v>136</v>
      </c>
      <c r="E128" t="str">
        <f>VLOOKUP(flavio_2023_mar_events[[#This Row],[filter]],Filtros,2,0)</f>
        <v>Cliente</v>
      </c>
      <c r="F128" t="str" cm="1">
        <f t="array" ref="F128">IF(flavio_2023_mar_events[[#This Row],[filter]]="C",LocalizarCliente(flavio_2023_mar_events[[#This Row],[end_date]]),"--")</f>
        <v>Open Finance Strat Sync</v>
      </c>
      <c r="G128" s="5">
        <f>flavio_2023_mar_events[[#This Row],[calendar_owner_email]]-flavio_2023_mar_events[[#This Row],[calendar_owner_name]]</f>
        <v>2.0833333328482695E-2</v>
      </c>
      <c r="H128" s="2" t="s">
        <v>13</v>
      </c>
      <c r="I128" s="2" t="s">
        <v>10</v>
      </c>
      <c r="J128" s="2" t="s">
        <v>10</v>
      </c>
      <c r="K128" s="2" t="s">
        <v>10</v>
      </c>
      <c r="L128" s="2" t="s">
        <v>10</v>
      </c>
      <c r="M128" s="2" t="s">
        <v>10</v>
      </c>
    </row>
    <row r="129" spans="1:13" hidden="1" x14ac:dyDescent="0.35">
      <c r="A129" s="1">
        <v>45000.458333333336</v>
      </c>
      <c r="B129" s="1">
        <v>45000.479166666664</v>
      </c>
      <c r="C129">
        <v>5</v>
      </c>
      <c r="D129">
        <v>0</v>
      </c>
      <c r="E129" t="str">
        <f>VLOOKUP(flavio_2023_mar_events[[#This Row],[filter]],Filtros,2,0)</f>
        <v>Nulo</v>
      </c>
      <c r="F129" t="str" cm="1">
        <f t="array" ref="F129">IF(flavio_2023_mar_events[[#This Row],[filter]]="C",LocalizarCliente(flavio_2023_mar_events[[#This Row],[end_date]]),"--")</f>
        <v>--</v>
      </c>
      <c r="G129" s="5">
        <f>flavio_2023_mar_events[[#This Row],[calendar_owner_email]]-flavio_2023_mar_events[[#This Row],[calendar_owner_name]]</f>
        <v>2.0833333328482695E-2</v>
      </c>
      <c r="H129" s="2" t="s">
        <v>13</v>
      </c>
      <c r="I129" s="2" t="s">
        <v>10</v>
      </c>
      <c r="J129" s="2" t="s">
        <v>10</v>
      </c>
      <c r="K129" s="2" t="s">
        <v>10</v>
      </c>
      <c r="L129" s="2" t="s">
        <v>10</v>
      </c>
      <c r="M129" s="2" t="s">
        <v>10</v>
      </c>
    </row>
    <row r="130" spans="1:13" hidden="1" x14ac:dyDescent="0.35">
      <c r="A130" s="1">
        <v>45007.458333333336</v>
      </c>
      <c r="B130" s="1">
        <v>45007.479166666664</v>
      </c>
      <c r="C130">
        <v>5</v>
      </c>
      <c r="D130">
        <v>0</v>
      </c>
      <c r="E130" t="str">
        <f>VLOOKUP(flavio_2023_mar_events[[#This Row],[filter]],Filtros,2,0)</f>
        <v>Nulo</v>
      </c>
      <c r="F130" t="str" cm="1">
        <f t="array" ref="F130">IF(flavio_2023_mar_events[[#This Row],[filter]]="C",LocalizarCliente(flavio_2023_mar_events[[#This Row],[end_date]]),"--")</f>
        <v>--</v>
      </c>
      <c r="G130" s="5">
        <f>flavio_2023_mar_events[[#This Row],[calendar_owner_email]]-flavio_2023_mar_events[[#This Row],[calendar_owner_name]]</f>
        <v>2.0833333328482695E-2</v>
      </c>
      <c r="H130" s="2" t="s">
        <v>13</v>
      </c>
      <c r="I130" s="2" t="s">
        <v>10</v>
      </c>
      <c r="J130" s="2" t="s">
        <v>10</v>
      </c>
      <c r="K130" s="2" t="s">
        <v>10</v>
      </c>
      <c r="L130" s="2" t="s">
        <v>10</v>
      </c>
      <c r="M130" s="2" t="s">
        <v>10</v>
      </c>
    </row>
    <row r="131" spans="1:13" hidden="1" x14ac:dyDescent="0.35">
      <c r="A131" s="1">
        <v>45014.458333333336</v>
      </c>
      <c r="B131" s="1">
        <v>45014.479166666664</v>
      </c>
      <c r="C131">
        <v>5</v>
      </c>
      <c r="D131" t="s">
        <v>141</v>
      </c>
      <c r="E131" t="str">
        <f>VLOOKUP(flavio_2023_mar_events[[#This Row],[filter]],Filtros,2,0)</f>
        <v>Solutions</v>
      </c>
      <c r="F131" t="str" cm="1">
        <f t="array" ref="F131">IF(flavio_2023_mar_events[[#This Row],[filter]]="C",LocalizarCliente(flavio_2023_mar_events[[#This Row],[end_date]]),"--")</f>
        <v>--</v>
      </c>
      <c r="G131" s="5">
        <f>flavio_2023_mar_events[[#This Row],[calendar_owner_email]]-flavio_2023_mar_events[[#This Row],[calendar_owner_name]]</f>
        <v>2.0833333328482695E-2</v>
      </c>
      <c r="H131" s="2" t="s">
        <v>13</v>
      </c>
      <c r="I131" s="2" t="s">
        <v>10</v>
      </c>
      <c r="J131" s="2" t="s">
        <v>10</v>
      </c>
      <c r="K131" s="2" t="s">
        <v>10</v>
      </c>
      <c r="L131" s="2" t="s">
        <v>10</v>
      </c>
      <c r="M131" s="2" t="s">
        <v>10</v>
      </c>
    </row>
    <row r="132" spans="1:13" hidden="1" x14ac:dyDescent="0.35">
      <c r="A132" s="1">
        <v>44999.541666666664</v>
      </c>
      <c r="B132" s="1">
        <v>44999.583333333336</v>
      </c>
      <c r="C132">
        <v>10</v>
      </c>
      <c r="D132" t="s">
        <v>141</v>
      </c>
      <c r="E132" t="str">
        <f>VLOOKUP(flavio_2023_mar_events[[#This Row],[filter]],Filtros,2,0)</f>
        <v>Solutions</v>
      </c>
      <c r="F132" t="str" cm="1">
        <f t="array" ref="F132">IF(flavio_2023_mar_events[[#This Row],[filter]]="C",LocalizarCliente(flavio_2023_mar_events[[#This Row],[end_date]]),"--")</f>
        <v>--</v>
      </c>
      <c r="G132" s="5">
        <f>flavio_2023_mar_events[[#This Row],[calendar_owner_email]]-flavio_2023_mar_events[[#This Row],[calendar_owner_name]]</f>
        <v>4.1666666671517305E-2</v>
      </c>
      <c r="H132" s="2" t="s">
        <v>68</v>
      </c>
      <c r="I132" s="2" t="s">
        <v>10</v>
      </c>
      <c r="J132" s="2" t="s">
        <v>10</v>
      </c>
      <c r="K132" s="2" t="s">
        <v>10</v>
      </c>
      <c r="L132" s="2" t="s">
        <v>10</v>
      </c>
      <c r="M132" s="2" t="s">
        <v>10</v>
      </c>
    </row>
    <row r="133" spans="1:13" hidden="1" x14ac:dyDescent="0.35">
      <c r="A133" s="1">
        <v>44999.666666666664</v>
      </c>
      <c r="B133" s="1">
        <v>44999.708333333336</v>
      </c>
      <c r="C133">
        <v>10</v>
      </c>
      <c r="D133">
        <v>0</v>
      </c>
      <c r="E133" t="str">
        <f>VLOOKUP(flavio_2023_mar_events[[#This Row],[filter]],Filtros,2,0)</f>
        <v>Nulo</v>
      </c>
      <c r="F133" t="str" cm="1">
        <f t="array" ref="F133">IF(flavio_2023_mar_events[[#This Row],[filter]]="C",LocalizarCliente(flavio_2023_mar_events[[#This Row],[end_date]]),"--")</f>
        <v>--</v>
      </c>
      <c r="G133" s="5">
        <f>flavio_2023_mar_events[[#This Row],[calendar_owner_email]]-flavio_2023_mar_events[[#This Row],[calendar_owner_name]]</f>
        <v>4.1666666671517305E-2</v>
      </c>
      <c r="H133" s="2" t="s">
        <v>68</v>
      </c>
      <c r="I133" s="2" t="s">
        <v>10</v>
      </c>
      <c r="J133" s="2" t="s">
        <v>10</v>
      </c>
      <c r="K133" s="2" t="s">
        <v>10</v>
      </c>
      <c r="L133" s="2" t="s">
        <v>10</v>
      </c>
      <c r="M133" s="2" t="s">
        <v>10</v>
      </c>
    </row>
    <row r="134" spans="1:13" hidden="1" x14ac:dyDescent="0.35">
      <c r="A134" s="1">
        <v>45000.625</v>
      </c>
      <c r="B134" s="1">
        <v>45000.708333333336</v>
      </c>
      <c r="C134">
        <v>20</v>
      </c>
      <c r="D134" t="s">
        <v>136</v>
      </c>
      <c r="E134" t="str">
        <f>VLOOKUP(flavio_2023_mar_events[[#This Row],[filter]],Filtros,2,0)</f>
        <v>Cliente</v>
      </c>
      <c r="F134" t="str" cm="1">
        <f t="array" ref="F134">IF(flavio_2023_mar_events[[#This Row],[filter]]="C",LocalizarCliente(flavio_2023_mar_events[[#This Row],[end_date]]),"--")</f>
        <v>Out of office</v>
      </c>
      <c r="G134" s="5">
        <f>flavio_2023_mar_events[[#This Row],[calendar_owner_email]]-flavio_2023_mar_events[[#This Row],[calendar_owner_name]]</f>
        <v>8.3333333335758653E-2</v>
      </c>
      <c r="H134" s="2" t="s">
        <v>68</v>
      </c>
      <c r="I134" s="2" t="s">
        <v>10</v>
      </c>
      <c r="J134" s="2" t="s">
        <v>10</v>
      </c>
      <c r="K134" s="2" t="s">
        <v>10</v>
      </c>
      <c r="L134" s="2" t="s">
        <v>10</v>
      </c>
      <c r="M134" s="2" t="s">
        <v>10</v>
      </c>
    </row>
    <row r="135" spans="1:13" hidden="1" x14ac:dyDescent="0.35">
      <c r="A135" s="1">
        <v>45016.333333333336</v>
      </c>
      <c r="B135" s="1">
        <v>45016.791666666664</v>
      </c>
      <c r="C135">
        <v>110</v>
      </c>
      <c r="D135" t="s">
        <v>141</v>
      </c>
      <c r="E135" t="str">
        <f>VLOOKUP(flavio_2023_mar_events[[#This Row],[filter]],Filtros,2,0)</f>
        <v>Solutions</v>
      </c>
      <c r="F135" t="str" cm="1">
        <f t="array" ref="F135">IF(flavio_2023_mar_events[[#This Row],[filter]]="C",LocalizarCliente(flavio_2023_mar_events[[#This Row],[end_date]]),"--")</f>
        <v>--</v>
      </c>
      <c r="G135" s="5">
        <f>flavio_2023_mar_events[[#This Row],[calendar_owner_email]]-flavio_2023_mar_events[[#This Row],[calendar_owner_name]]</f>
        <v>0.45833333332848269</v>
      </c>
      <c r="H135" s="2" t="s">
        <v>128</v>
      </c>
      <c r="I135" s="2" t="s">
        <v>10</v>
      </c>
      <c r="J135" s="2" t="s">
        <v>10</v>
      </c>
      <c r="K135" s="2" t="s">
        <v>10</v>
      </c>
      <c r="L135" s="2" t="s">
        <v>10</v>
      </c>
      <c r="M135" s="2" t="s">
        <v>10</v>
      </c>
    </row>
    <row r="136" spans="1:13" x14ac:dyDescent="0.35">
      <c r="A136" s="1">
        <v>44986.5</v>
      </c>
      <c r="B136" s="1">
        <v>44986.5625</v>
      </c>
      <c r="C136">
        <v>15</v>
      </c>
      <c r="D136" t="s">
        <v>135</v>
      </c>
      <c r="E136" t="str">
        <f>VLOOKUP(flavio_2023_mar_events[[#This Row],[filter]],Filtros,2,0)</f>
        <v>Education</v>
      </c>
      <c r="F136" t="str" cm="1">
        <f t="array" ref="F136">IF(flavio_2023_mar_events[[#This Row],[filter]]="C",LocalizarCliente(flavio_2023_mar_events[[#This Row],[end_date]]),"--")</f>
        <v>--</v>
      </c>
      <c r="G136" s="5">
        <f>flavio_2023_mar_events[[#This Row],[calendar_owner_email]]-flavio_2023_mar_events[[#This Row],[calendar_owner_name]]</f>
        <v>6.25E-2</v>
      </c>
      <c r="H136" s="2" t="s">
        <v>15</v>
      </c>
      <c r="I136" s="2" t="s">
        <v>10</v>
      </c>
      <c r="J136" s="2" t="s">
        <v>10</v>
      </c>
      <c r="K136" s="2" t="s">
        <v>10</v>
      </c>
      <c r="L136" s="2" t="s">
        <v>10</v>
      </c>
      <c r="M136" s="2" t="s">
        <v>10</v>
      </c>
    </row>
    <row r="137" spans="1:13" hidden="1" x14ac:dyDescent="0.35">
      <c r="A137" s="1">
        <v>44987.5</v>
      </c>
      <c r="B137" s="1">
        <v>44987.5625</v>
      </c>
      <c r="C137">
        <v>15</v>
      </c>
      <c r="D137" t="s">
        <v>136</v>
      </c>
      <c r="E137" t="str">
        <f>VLOOKUP(flavio_2023_mar_events[[#This Row],[filter]],Filtros,2,0)</f>
        <v>Cliente</v>
      </c>
      <c r="F137" t="str" cm="1">
        <f t="array" ref="F137">IF(flavio_2023_mar_events[[#This Row],[filter]]="C",LocalizarCliente(flavio_2023_mar_events[[#This Row],[end_date]]),"--")</f>
        <v>Out of office</v>
      </c>
      <c r="G137" s="5">
        <f>flavio_2023_mar_events[[#This Row],[calendar_owner_email]]-flavio_2023_mar_events[[#This Row],[calendar_owner_name]]</f>
        <v>6.25E-2</v>
      </c>
      <c r="H137" s="2" t="s">
        <v>15</v>
      </c>
      <c r="I137" s="2" t="s">
        <v>10</v>
      </c>
      <c r="J137" s="2" t="s">
        <v>10</v>
      </c>
      <c r="K137" s="2" t="s">
        <v>10</v>
      </c>
      <c r="L137" s="2" t="s">
        <v>10</v>
      </c>
      <c r="M137" s="2" t="s">
        <v>10</v>
      </c>
    </row>
    <row r="138" spans="1:13" hidden="1" x14ac:dyDescent="0.35">
      <c r="A138" s="1">
        <v>44988.5</v>
      </c>
      <c r="B138" s="1">
        <v>44988.5625</v>
      </c>
      <c r="C138">
        <v>15</v>
      </c>
      <c r="D138">
        <v>0</v>
      </c>
      <c r="E138" t="str">
        <f>VLOOKUP(flavio_2023_mar_events[[#This Row],[filter]],Filtros,2,0)</f>
        <v>Nulo</v>
      </c>
      <c r="F138" t="str" cm="1">
        <f t="array" ref="F138">IF(flavio_2023_mar_events[[#This Row],[filter]]="C",LocalizarCliente(flavio_2023_mar_events[[#This Row],[end_date]]),"--")</f>
        <v>--</v>
      </c>
      <c r="G138" s="5">
        <f>flavio_2023_mar_events[[#This Row],[calendar_owner_email]]-flavio_2023_mar_events[[#This Row],[calendar_owner_name]]</f>
        <v>6.25E-2</v>
      </c>
      <c r="H138" s="2" t="s">
        <v>15</v>
      </c>
      <c r="I138" s="2" t="s">
        <v>10</v>
      </c>
      <c r="J138" s="2" t="s">
        <v>10</v>
      </c>
      <c r="K138" s="2" t="s">
        <v>10</v>
      </c>
      <c r="L138" s="2" t="s">
        <v>10</v>
      </c>
      <c r="M138" s="2" t="s">
        <v>10</v>
      </c>
    </row>
    <row r="139" spans="1:13" hidden="1" x14ac:dyDescent="0.35">
      <c r="A139" s="1">
        <v>44991.5</v>
      </c>
      <c r="B139" s="1">
        <v>44991.5625</v>
      </c>
      <c r="C139">
        <v>15</v>
      </c>
      <c r="D139" t="s">
        <v>143</v>
      </c>
      <c r="E139" t="str">
        <f>VLOOKUP(flavio_2023_mar_events[[#This Row],[filter]],Filtros,2,0)</f>
        <v>BizDevs</v>
      </c>
      <c r="F139" t="str" cm="1">
        <f t="array" ref="F139">IF(flavio_2023_mar_events[[#This Row],[filter]]="C",LocalizarCliente(flavio_2023_mar_events[[#This Row],[end_date]]),"--")</f>
        <v>--</v>
      </c>
      <c r="G139" s="5">
        <f>flavio_2023_mar_events[[#This Row],[calendar_owner_email]]-flavio_2023_mar_events[[#This Row],[calendar_owner_name]]</f>
        <v>6.25E-2</v>
      </c>
      <c r="H139" s="2" t="s">
        <v>15</v>
      </c>
      <c r="I139" s="2" t="s">
        <v>10</v>
      </c>
      <c r="J139" s="2" t="s">
        <v>10</v>
      </c>
      <c r="K139" s="2" t="s">
        <v>10</v>
      </c>
      <c r="L139" s="2" t="s">
        <v>10</v>
      </c>
      <c r="M139" s="2" t="s">
        <v>10</v>
      </c>
    </row>
    <row r="140" spans="1:13" hidden="1" x14ac:dyDescent="0.35">
      <c r="A140" s="1">
        <v>44992.5</v>
      </c>
      <c r="B140" s="1">
        <v>44992.5625</v>
      </c>
      <c r="C140">
        <v>15</v>
      </c>
      <c r="D140" t="s">
        <v>141</v>
      </c>
      <c r="E140" t="str">
        <f>VLOOKUP(flavio_2023_mar_events[[#This Row],[filter]],Filtros,2,0)</f>
        <v>Solutions</v>
      </c>
      <c r="F140" t="str" cm="1">
        <f t="array" ref="F140">IF(flavio_2023_mar_events[[#This Row],[filter]]="C",LocalizarCliente(flavio_2023_mar_events[[#This Row],[end_date]]),"--")</f>
        <v>--</v>
      </c>
      <c r="G140" s="5">
        <f>flavio_2023_mar_events[[#This Row],[calendar_owner_email]]-flavio_2023_mar_events[[#This Row],[calendar_owner_name]]</f>
        <v>6.25E-2</v>
      </c>
      <c r="H140" s="2" t="s">
        <v>15</v>
      </c>
      <c r="I140" s="2" t="s">
        <v>10</v>
      </c>
      <c r="J140" s="2" t="s">
        <v>10</v>
      </c>
      <c r="K140" s="2" t="s">
        <v>10</v>
      </c>
      <c r="L140" s="2" t="s">
        <v>10</v>
      </c>
      <c r="M140" s="2" t="s">
        <v>10</v>
      </c>
    </row>
    <row r="141" spans="1:13" hidden="1" x14ac:dyDescent="0.35">
      <c r="A141" s="1">
        <v>44993.5</v>
      </c>
      <c r="B141" s="1">
        <v>44993.5625</v>
      </c>
      <c r="C141">
        <v>15</v>
      </c>
      <c r="D141" t="s">
        <v>136</v>
      </c>
      <c r="E141" t="str">
        <f>VLOOKUP(flavio_2023_mar_events[[#This Row],[filter]],Filtros,2,0)</f>
        <v>Cliente</v>
      </c>
      <c r="F141" t="str" cm="1">
        <f t="array" ref="F141">IF(flavio_2023_mar_events[[#This Row],[filter]]="C",LocalizarCliente(flavio_2023_mar_events[[#This Row],[end_date]]),"--")</f>
        <v>Out of office</v>
      </c>
      <c r="G141" s="5">
        <f>flavio_2023_mar_events[[#This Row],[calendar_owner_email]]-flavio_2023_mar_events[[#This Row],[calendar_owner_name]]</f>
        <v>6.25E-2</v>
      </c>
      <c r="H141" s="2" t="s">
        <v>15</v>
      </c>
      <c r="I141" s="2" t="s">
        <v>10</v>
      </c>
      <c r="J141" s="2" t="s">
        <v>10</v>
      </c>
      <c r="K141" s="2" t="s">
        <v>10</v>
      </c>
      <c r="L141" s="2" t="s">
        <v>10</v>
      </c>
      <c r="M141" s="2" t="s">
        <v>10</v>
      </c>
    </row>
    <row r="142" spans="1:13" hidden="1" x14ac:dyDescent="0.35">
      <c r="A142" s="1">
        <v>44994.5</v>
      </c>
      <c r="B142" s="1">
        <v>44994.5625</v>
      </c>
      <c r="C142">
        <v>15</v>
      </c>
      <c r="D142">
        <v>0</v>
      </c>
      <c r="E142" t="str">
        <f>VLOOKUP(flavio_2023_mar_events[[#This Row],[filter]],Filtros,2,0)</f>
        <v>Nulo</v>
      </c>
      <c r="F142" t="str" cm="1">
        <f t="array" ref="F142">IF(flavio_2023_mar_events[[#This Row],[filter]]="C",LocalizarCliente(flavio_2023_mar_events[[#This Row],[end_date]]),"--")</f>
        <v>--</v>
      </c>
      <c r="G142" s="5">
        <f>flavio_2023_mar_events[[#This Row],[calendar_owner_email]]-flavio_2023_mar_events[[#This Row],[calendar_owner_name]]</f>
        <v>6.25E-2</v>
      </c>
      <c r="H142" s="2" t="s">
        <v>15</v>
      </c>
      <c r="I142" s="2" t="s">
        <v>10</v>
      </c>
      <c r="J142" s="2" t="s">
        <v>10</v>
      </c>
      <c r="K142" s="2" t="s">
        <v>10</v>
      </c>
      <c r="L142" s="2" t="s">
        <v>10</v>
      </c>
      <c r="M142" s="2" t="s">
        <v>10</v>
      </c>
    </row>
    <row r="143" spans="1:13" hidden="1" x14ac:dyDescent="0.35">
      <c r="A143" s="1">
        <v>44995.5</v>
      </c>
      <c r="B143" s="1">
        <v>44995.5625</v>
      </c>
      <c r="C143">
        <v>15</v>
      </c>
      <c r="D143" t="s">
        <v>136</v>
      </c>
      <c r="E143" t="str">
        <f>VLOOKUP(flavio_2023_mar_events[[#This Row],[filter]],Filtros,2,0)</f>
        <v>Cliente</v>
      </c>
      <c r="F143" t="str" cm="1">
        <f t="array" ref="F143">IF(flavio_2023_mar_events[[#This Row],[filter]]="C",LocalizarCliente(flavio_2023_mar_events[[#This Row],[end_date]]),"--")</f>
        <v>Out of office</v>
      </c>
      <c r="G143" s="5">
        <f>flavio_2023_mar_events[[#This Row],[calendar_owner_email]]-flavio_2023_mar_events[[#This Row],[calendar_owner_name]]</f>
        <v>6.25E-2</v>
      </c>
      <c r="H143" s="2" t="s">
        <v>15</v>
      </c>
      <c r="I143" s="2" t="s">
        <v>10</v>
      </c>
      <c r="J143" s="2" t="s">
        <v>10</v>
      </c>
      <c r="K143" s="2" t="s">
        <v>10</v>
      </c>
      <c r="L143" s="2" t="s">
        <v>10</v>
      </c>
      <c r="M143" s="2" t="s">
        <v>10</v>
      </c>
    </row>
    <row r="144" spans="1:13" hidden="1" x14ac:dyDescent="0.35">
      <c r="A144" s="1">
        <v>44998.5</v>
      </c>
      <c r="B144" s="1">
        <v>44998.5625</v>
      </c>
      <c r="C144">
        <v>15</v>
      </c>
      <c r="D144" t="s">
        <v>141</v>
      </c>
      <c r="E144" t="str">
        <f>VLOOKUP(flavio_2023_mar_events[[#This Row],[filter]],Filtros,2,0)</f>
        <v>Solutions</v>
      </c>
      <c r="F144" t="str" cm="1">
        <f t="array" ref="F144">IF(flavio_2023_mar_events[[#This Row],[filter]]="C",LocalizarCliente(flavio_2023_mar_events[[#This Row],[end_date]]),"--")</f>
        <v>--</v>
      </c>
      <c r="G144" s="5">
        <f>flavio_2023_mar_events[[#This Row],[calendar_owner_email]]-flavio_2023_mar_events[[#This Row],[calendar_owner_name]]</f>
        <v>6.25E-2</v>
      </c>
      <c r="H144" s="2" t="s">
        <v>15</v>
      </c>
      <c r="I144" s="2" t="s">
        <v>10</v>
      </c>
      <c r="J144" s="2" t="s">
        <v>10</v>
      </c>
      <c r="K144" s="2" t="s">
        <v>10</v>
      </c>
      <c r="L144" s="2" t="s">
        <v>10</v>
      </c>
      <c r="M144" s="2" t="s">
        <v>10</v>
      </c>
    </row>
    <row r="145" spans="1:13" hidden="1" x14ac:dyDescent="0.35">
      <c r="A145" s="1">
        <v>44999.5</v>
      </c>
      <c r="B145" s="1">
        <v>44999.5625</v>
      </c>
      <c r="C145">
        <v>15</v>
      </c>
      <c r="D145" t="s">
        <v>141</v>
      </c>
      <c r="E145" t="str">
        <f>VLOOKUP(flavio_2023_mar_events[[#This Row],[filter]],Filtros,2,0)</f>
        <v>Solutions</v>
      </c>
      <c r="F145" t="str" cm="1">
        <f t="array" ref="F145">IF(flavio_2023_mar_events[[#This Row],[filter]]="C",LocalizarCliente(flavio_2023_mar_events[[#This Row],[end_date]]),"--")</f>
        <v>--</v>
      </c>
      <c r="G145" s="5">
        <f>flavio_2023_mar_events[[#This Row],[calendar_owner_email]]-flavio_2023_mar_events[[#This Row],[calendar_owner_name]]</f>
        <v>6.25E-2</v>
      </c>
      <c r="H145" s="2" t="s">
        <v>15</v>
      </c>
      <c r="I145" s="2" t="s">
        <v>10</v>
      </c>
      <c r="J145" s="2" t="s">
        <v>10</v>
      </c>
      <c r="K145" s="2" t="s">
        <v>10</v>
      </c>
      <c r="L145" s="2" t="s">
        <v>10</v>
      </c>
      <c r="M145" s="2" t="s">
        <v>10</v>
      </c>
    </row>
    <row r="146" spans="1:13" hidden="1" x14ac:dyDescent="0.35">
      <c r="A146" s="1">
        <v>45000.5</v>
      </c>
      <c r="B146" s="1">
        <v>45000.5625</v>
      </c>
      <c r="C146">
        <v>15</v>
      </c>
      <c r="D146">
        <v>0</v>
      </c>
      <c r="E146" t="str">
        <f>VLOOKUP(flavio_2023_mar_events[[#This Row],[filter]],Filtros,2,0)</f>
        <v>Nulo</v>
      </c>
      <c r="F146" t="str" cm="1">
        <f t="array" ref="F146">IF(flavio_2023_mar_events[[#This Row],[filter]]="C",LocalizarCliente(flavio_2023_mar_events[[#This Row],[end_date]]),"--")</f>
        <v>--</v>
      </c>
      <c r="G146" s="5">
        <f>flavio_2023_mar_events[[#This Row],[calendar_owner_email]]-flavio_2023_mar_events[[#This Row],[calendar_owner_name]]</f>
        <v>6.25E-2</v>
      </c>
      <c r="H146" s="2" t="s">
        <v>15</v>
      </c>
      <c r="I146" s="2" t="s">
        <v>10</v>
      </c>
      <c r="J146" s="2" t="s">
        <v>10</v>
      </c>
      <c r="K146" s="2" t="s">
        <v>10</v>
      </c>
      <c r="L146" s="2" t="s">
        <v>10</v>
      </c>
      <c r="M146" s="2" t="s">
        <v>10</v>
      </c>
    </row>
    <row r="147" spans="1:13" hidden="1" x14ac:dyDescent="0.35">
      <c r="A147" s="1">
        <v>45001.5</v>
      </c>
      <c r="B147" s="1">
        <v>45001.5625</v>
      </c>
      <c r="C147">
        <v>15</v>
      </c>
      <c r="D147" t="s">
        <v>143</v>
      </c>
      <c r="E147" t="str">
        <f>VLOOKUP(flavio_2023_mar_events[[#This Row],[filter]],Filtros,2,0)</f>
        <v>BizDevs</v>
      </c>
      <c r="F147" t="str" cm="1">
        <f t="array" ref="F147">IF(flavio_2023_mar_events[[#This Row],[filter]]="C",LocalizarCliente(flavio_2023_mar_events[[#This Row],[end_date]]),"--")</f>
        <v>--</v>
      </c>
      <c r="G147" s="5">
        <f>flavio_2023_mar_events[[#This Row],[calendar_owner_email]]-flavio_2023_mar_events[[#This Row],[calendar_owner_name]]</f>
        <v>6.25E-2</v>
      </c>
      <c r="H147" s="2" t="s">
        <v>15</v>
      </c>
      <c r="I147" s="2" t="s">
        <v>10</v>
      </c>
      <c r="J147" s="2" t="s">
        <v>10</v>
      </c>
      <c r="K147" s="2" t="s">
        <v>10</v>
      </c>
      <c r="L147" s="2" t="s">
        <v>10</v>
      </c>
      <c r="M147" s="2" t="s">
        <v>10</v>
      </c>
    </row>
    <row r="148" spans="1:13" hidden="1" x14ac:dyDescent="0.35">
      <c r="A148" s="1">
        <v>45002.5</v>
      </c>
      <c r="B148" s="1">
        <v>45002.5625</v>
      </c>
      <c r="C148">
        <v>15</v>
      </c>
      <c r="D148">
        <v>0</v>
      </c>
      <c r="E148" t="str">
        <f>VLOOKUP(flavio_2023_mar_events[[#This Row],[filter]],Filtros,2,0)</f>
        <v>Nulo</v>
      </c>
      <c r="F148" t="str" cm="1">
        <f t="array" ref="F148">IF(flavio_2023_mar_events[[#This Row],[filter]]="C",LocalizarCliente(flavio_2023_mar_events[[#This Row],[end_date]]),"--")</f>
        <v>--</v>
      </c>
      <c r="G148" s="5">
        <f>flavio_2023_mar_events[[#This Row],[calendar_owner_email]]-flavio_2023_mar_events[[#This Row],[calendar_owner_name]]</f>
        <v>6.25E-2</v>
      </c>
      <c r="H148" s="2" t="s">
        <v>15</v>
      </c>
      <c r="I148" s="2" t="s">
        <v>10</v>
      </c>
      <c r="J148" s="2" t="s">
        <v>10</v>
      </c>
      <c r="K148" s="2" t="s">
        <v>10</v>
      </c>
      <c r="L148" s="2" t="s">
        <v>10</v>
      </c>
      <c r="M148" s="2" t="s">
        <v>10</v>
      </c>
    </row>
    <row r="149" spans="1:13" hidden="1" x14ac:dyDescent="0.35">
      <c r="A149" s="1">
        <v>45005.5</v>
      </c>
      <c r="B149" s="1">
        <v>45005.5625</v>
      </c>
      <c r="C149">
        <v>15</v>
      </c>
      <c r="D149" t="s">
        <v>134</v>
      </c>
      <c r="E149" t="str">
        <f>VLOOKUP(flavio_2023_mar_events[[#This Row],[filter]],Filtros,2,0)</f>
        <v>Open Banking</v>
      </c>
      <c r="F149" t="str" cm="1">
        <f t="array" ref="F149">IF(flavio_2023_mar_events[[#This Row],[filter]]="C",LocalizarCliente(flavio_2023_mar_events[[#This Row],[end_date]]),"--")</f>
        <v>--</v>
      </c>
      <c r="G149" s="5">
        <f>flavio_2023_mar_events[[#This Row],[calendar_owner_email]]-flavio_2023_mar_events[[#This Row],[calendar_owner_name]]</f>
        <v>6.25E-2</v>
      </c>
      <c r="H149" s="2" t="s">
        <v>15</v>
      </c>
      <c r="I149" s="2" t="s">
        <v>10</v>
      </c>
      <c r="J149" s="2" t="s">
        <v>10</v>
      </c>
      <c r="K149" s="2" t="s">
        <v>10</v>
      </c>
      <c r="L149" s="2" t="s">
        <v>10</v>
      </c>
      <c r="M149" s="2" t="s">
        <v>10</v>
      </c>
    </row>
    <row r="150" spans="1:13" hidden="1" x14ac:dyDescent="0.35">
      <c r="A150" s="1">
        <v>45006.5</v>
      </c>
      <c r="B150" s="1">
        <v>45006.5625</v>
      </c>
      <c r="C150">
        <v>15</v>
      </c>
      <c r="D150">
        <v>0</v>
      </c>
      <c r="E150" t="str">
        <f>VLOOKUP(flavio_2023_mar_events[[#This Row],[filter]],Filtros,2,0)</f>
        <v>Nulo</v>
      </c>
      <c r="F150" t="str" cm="1">
        <f t="array" ref="F150">IF(flavio_2023_mar_events[[#This Row],[filter]]="C",LocalizarCliente(flavio_2023_mar_events[[#This Row],[end_date]]),"--")</f>
        <v>--</v>
      </c>
      <c r="G150" s="5">
        <f>flavio_2023_mar_events[[#This Row],[calendar_owner_email]]-flavio_2023_mar_events[[#This Row],[calendar_owner_name]]</f>
        <v>6.25E-2</v>
      </c>
      <c r="H150" s="2" t="s">
        <v>15</v>
      </c>
      <c r="I150" s="2" t="s">
        <v>10</v>
      </c>
      <c r="J150" s="2" t="s">
        <v>10</v>
      </c>
      <c r="K150" s="2" t="s">
        <v>10</v>
      </c>
      <c r="L150" s="2" t="s">
        <v>10</v>
      </c>
      <c r="M150" s="2" t="s">
        <v>10</v>
      </c>
    </row>
    <row r="151" spans="1:13" hidden="1" x14ac:dyDescent="0.35">
      <c r="A151" s="1">
        <v>45007.5</v>
      </c>
      <c r="B151" s="1">
        <v>45007.5625</v>
      </c>
      <c r="C151">
        <v>15</v>
      </c>
      <c r="D151">
        <v>0</v>
      </c>
      <c r="E151" t="str">
        <f>VLOOKUP(flavio_2023_mar_events[[#This Row],[filter]],Filtros,2,0)</f>
        <v>Nulo</v>
      </c>
      <c r="F151" t="str" cm="1">
        <f t="array" ref="F151">IF(flavio_2023_mar_events[[#This Row],[filter]]="C",LocalizarCliente(flavio_2023_mar_events[[#This Row],[end_date]]),"--")</f>
        <v>--</v>
      </c>
      <c r="G151" s="5">
        <f>flavio_2023_mar_events[[#This Row],[calendar_owner_email]]-flavio_2023_mar_events[[#This Row],[calendar_owner_name]]</f>
        <v>6.25E-2</v>
      </c>
      <c r="H151" s="2" t="s">
        <v>15</v>
      </c>
      <c r="I151" s="2" t="s">
        <v>10</v>
      </c>
      <c r="J151" s="2" t="s">
        <v>10</v>
      </c>
      <c r="K151" s="2" t="s">
        <v>10</v>
      </c>
      <c r="L151" s="2" t="s">
        <v>10</v>
      </c>
      <c r="M151" s="2" t="s">
        <v>10</v>
      </c>
    </row>
    <row r="152" spans="1:13" hidden="1" x14ac:dyDescent="0.35">
      <c r="A152" s="1">
        <v>45008.5</v>
      </c>
      <c r="B152" s="1">
        <v>45008.5625</v>
      </c>
      <c r="C152">
        <v>15</v>
      </c>
      <c r="D152">
        <v>0</v>
      </c>
      <c r="E152" t="str">
        <f>VLOOKUP(flavio_2023_mar_events[[#This Row],[filter]],Filtros,2,0)</f>
        <v>Nulo</v>
      </c>
      <c r="F152" t="str" cm="1">
        <f t="array" ref="F152">IF(flavio_2023_mar_events[[#This Row],[filter]]="C",LocalizarCliente(flavio_2023_mar_events[[#This Row],[end_date]]),"--")</f>
        <v>--</v>
      </c>
      <c r="G152" s="5">
        <f>flavio_2023_mar_events[[#This Row],[calendar_owner_email]]-flavio_2023_mar_events[[#This Row],[calendar_owner_name]]</f>
        <v>6.25E-2</v>
      </c>
      <c r="H152" s="2" t="s">
        <v>15</v>
      </c>
      <c r="I152" s="2" t="s">
        <v>10</v>
      </c>
      <c r="J152" s="2" t="s">
        <v>10</v>
      </c>
      <c r="K152" s="2" t="s">
        <v>10</v>
      </c>
      <c r="L152" s="2" t="s">
        <v>10</v>
      </c>
      <c r="M152" s="2" t="s">
        <v>10</v>
      </c>
    </row>
    <row r="153" spans="1:13" hidden="1" x14ac:dyDescent="0.35">
      <c r="A153" s="1">
        <v>45009.5</v>
      </c>
      <c r="B153" s="1">
        <v>45009.5625</v>
      </c>
      <c r="C153">
        <v>15</v>
      </c>
      <c r="D153" t="s">
        <v>141</v>
      </c>
      <c r="E153" t="str">
        <f>VLOOKUP(flavio_2023_mar_events[[#This Row],[filter]],Filtros,2,0)</f>
        <v>Solutions</v>
      </c>
      <c r="F153" t="str" cm="1">
        <f t="array" ref="F153">IF(flavio_2023_mar_events[[#This Row],[filter]]="C",LocalizarCliente(flavio_2023_mar_events[[#This Row],[end_date]]),"--")</f>
        <v>--</v>
      </c>
      <c r="G153" s="5">
        <f>flavio_2023_mar_events[[#This Row],[calendar_owner_email]]-flavio_2023_mar_events[[#This Row],[calendar_owner_name]]</f>
        <v>6.25E-2</v>
      </c>
      <c r="H153" s="2" t="s">
        <v>15</v>
      </c>
      <c r="I153" s="2" t="s">
        <v>10</v>
      </c>
      <c r="J153" s="2" t="s">
        <v>10</v>
      </c>
      <c r="K153" s="2" t="s">
        <v>10</v>
      </c>
      <c r="L153" s="2" t="s">
        <v>10</v>
      </c>
      <c r="M153" s="2" t="s">
        <v>10</v>
      </c>
    </row>
    <row r="154" spans="1:13" hidden="1" x14ac:dyDescent="0.35">
      <c r="A154" s="1">
        <v>45012.5</v>
      </c>
      <c r="B154" s="1">
        <v>45012.5625</v>
      </c>
      <c r="C154">
        <v>15</v>
      </c>
      <c r="D154" t="s">
        <v>136</v>
      </c>
      <c r="E154" t="str">
        <f>VLOOKUP(flavio_2023_mar_events[[#This Row],[filter]],Filtros,2,0)</f>
        <v>Cliente</v>
      </c>
      <c r="F154" t="str" cm="1">
        <f t="array" ref="F154">IF(flavio_2023_mar_events[[#This Row],[filter]]="C",LocalizarCliente(flavio_2023_mar_events[[#This Row],[end_date]]),"--")</f>
        <v>Out of office</v>
      </c>
      <c r="G154" s="5">
        <f>flavio_2023_mar_events[[#This Row],[calendar_owner_email]]-flavio_2023_mar_events[[#This Row],[calendar_owner_name]]</f>
        <v>6.25E-2</v>
      </c>
      <c r="H154" s="2" t="s">
        <v>15</v>
      </c>
      <c r="I154" s="2" t="s">
        <v>10</v>
      </c>
      <c r="J154" s="2" t="s">
        <v>10</v>
      </c>
      <c r="K154" s="2" t="s">
        <v>10</v>
      </c>
      <c r="L154" s="2" t="s">
        <v>10</v>
      </c>
      <c r="M154" s="2" t="s">
        <v>10</v>
      </c>
    </row>
    <row r="155" spans="1:13" hidden="1" x14ac:dyDescent="0.35">
      <c r="A155" s="1">
        <v>45013.5</v>
      </c>
      <c r="B155" s="1">
        <v>45013.5625</v>
      </c>
      <c r="C155">
        <v>15</v>
      </c>
      <c r="D155" t="s">
        <v>136</v>
      </c>
      <c r="E155" t="str">
        <f>VLOOKUP(flavio_2023_mar_events[[#This Row],[filter]],Filtros,2,0)</f>
        <v>Cliente</v>
      </c>
      <c r="F155" t="str" cm="1">
        <f t="array" ref="F155">IF(flavio_2023_mar_events[[#This Row],[filter]]="C",LocalizarCliente(flavio_2023_mar_events[[#This Row],[end_date]]),"--")</f>
        <v>Out of office</v>
      </c>
      <c r="G155" s="5">
        <f>flavio_2023_mar_events[[#This Row],[calendar_owner_email]]-flavio_2023_mar_events[[#This Row],[calendar_owner_name]]</f>
        <v>6.25E-2</v>
      </c>
      <c r="H155" s="2" t="s">
        <v>15</v>
      </c>
      <c r="I155" s="2" t="s">
        <v>10</v>
      </c>
      <c r="J155" s="2" t="s">
        <v>10</v>
      </c>
      <c r="K155" s="2" t="s">
        <v>10</v>
      </c>
      <c r="L155" s="2" t="s">
        <v>10</v>
      </c>
      <c r="M155" s="2" t="s">
        <v>10</v>
      </c>
    </row>
    <row r="156" spans="1:13" hidden="1" x14ac:dyDescent="0.35">
      <c r="A156" s="1">
        <v>45014.5</v>
      </c>
      <c r="B156" s="1">
        <v>45014.5625</v>
      </c>
      <c r="C156">
        <v>15</v>
      </c>
      <c r="D156" t="s">
        <v>141</v>
      </c>
      <c r="E156" t="str">
        <f>VLOOKUP(flavio_2023_mar_events[[#This Row],[filter]],Filtros,2,0)</f>
        <v>Solutions</v>
      </c>
      <c r="F156" t="str" cm="1">
        <f t="array" ref="F156">IF(flavio_2023_mar_events[[#This Row],[filter]]="C",LocalizarCliente(flavio_2023_mar_events[[#This Row],[end_date]]),"--")</f>
        <v>--</v>
      </c>
      <c r="G156" s="5">
        <f>flavio_2023_mar_events[[#This Row],[calendar_owner_email]]-flavio_2023_mar_events[[#This Row],[calendar_owner_name]]</f>
        <v>6.25E-2</v>
      </c>
      <c r="H156" s="2" t="s">
        <v>15</v>
      </c>
      <c r="I156" s="2" t="s">
        <v>10</v>
      </c>
      <c r="J156" s="2" t="s">
        <v>10</v>
      </c>
      <c r="K156" s="2" t="s">
        <v>10</v>
      </c>
      <c r="L156" s="2" t="s">
        <v>10</v>
      </c>
      <c r="M156" s="2" t="s">
        <v>10</v>
      </c>
    </row>
    <row r="157" spans="1:13" hidden="1" x14ac:dyDescent="0.35">
      <c r="A157" s="1">
        <v>45015.5</v>
      </c>
      <c r="B157" s="1">
        <v>45015.5625</v>
      </c>
      <c r="C157">
        <v>15</v>
      </c>
      <c r="D157" t="s">
        <v>143</v>
      </c>
      <c r="E157" t="str">
        <f>VLOOKUP(flavio_2023_mar_events[[#This Row],[filter]],Filtros,2,0)</f>
        <v>BizDevs</v>
      </c>
      <c r="F157" t="str" cm="1">
        <f t="array" ref="F157">IF(flavio_2023_mar_events[[#This Row],[filter]]="C",LocalizarCliente(flavio_2023_mar_events[[#This Row],[end_date]]),"--")</f>
        <v>--</v>
      </c>
      <c r="G157" s="5">
        <f>flavio_2023_mar_events[[#This Row],[calendar_owner_email]]-flavio_2023_mar_events[[#This Row],[calendar_owner_name]]</f>
        <v>6.25E-2</v>
      </c>
      <c r="H157" s="2" t="s">
        <v>15</v>
      </c>
      <c r="I157" s="2" t="s">
        <v>10</v>
      </c>
      <c r="J157" s="2" t="s">
        <v>10</v>
      </c>
      <c r="K157" s="2" t="s">
        <v>10</v>
      </c>
      <c r="L157" s="2" t="s">
        <v>10</v>
      </c>
      <c r="M157" s="2" t="s">
        <v>10</v>
      </c>
    </row>
    <row r="158" spans="1:13" hidden="1" x14ac:dyDescent="0.35">
      <c r="A158" s="1">
        <v>45016.5</v>
      </c>
      <c r="B158" s="1">
        <v>45016.5625</v>
      </c>
      <c r="C158">
        <v>15</v>
      </c>
      <c r="D158">
        <v>0</v>
      </c>
      <c r="E158" t="str">
        <f>VLOOKUP(flavio_2023_mar_events[[#This Row],[filter]],Filtros,2,0)</f>
        <v>Nulo</v>
      </c>
      <c r="F158" t="str" cm="1">
        <f t="array" ref="F158">IF(flavio_2023_mar_events[[#This Row],[filter]]="C",LocalizarCliente(flavio_2023_mar_events[[#This Row],[end_date]]),"--")</f>
        <v>--</v>
      </c>
      <c r="G158" s="5">
        <f>flavio_2023_mar_events[[#This Row],[calendar_owner_email]]-flavio_2023_mar_events[[#This Row],[calendar_owner_name]]</f>
        <v>6.25E-2</v>
      </c>
      <c r="H158" s="2" t="s">
        <v>15</v>
      </c>
      <c r="I158" s="2" t="s">
        <v>10</v>
      </c>
      <c r="J158" s="2" t="s">
        <v>10</v>
      </c>
      <c r="K158" s="2" t="s">
        <v>10</v>
      </c>
      <c r="L158" s="2" t="s">
        <v>10</v>
      </c>
      <c r="M158" s="2" t="s">
        <v>10</v>
      </c>
    </row>
    <row r="159" spans="1:13" hidden="1" x14ac:dyDescent="0.35">
      <c r="A159" s="1">
        <v>45016.416666666664</v>
      </c>
      <c r="B159" s="1">
        <v>45016.4375</v>
      </c>
      <c r="C159">
        <v>5</v>
      </c>
      <c r="D159">
        <v>0</v>
      </c>
      <c r="E159" t="str">
        <f>VLOOKUP(flavio_2023_mar_events[[#This Row],[filter]],Filtros,2,0)</f>
        <v>Nulo</v>
      </c>
      <c r="F159" t="str" cm="1">
        <f t="array" ref="F159">IF(flavio_2023_mar_events[[#This Row],[filter]]="C",LocalizarCliente(flavio_2023_mar_events[[#This Row],[end_date]]),"--")</f>
        <v>--</v>
      </c>
      <c r="G159" s="5">
        <f>flavio_2023_mar_events[[#This Row],[calendar_owner_email]]-flavio_2023_mar_events[[#This Row],[calendar_owner_name]]</f>
        <v>2.0833333335758653E-2</v>
      </c>
      <c r="H159" s="2" t="s">
        <v>130</v>
      </c>
      <c r="I159" s="2" t="s">
        <v>10</v>
      </c>
      <c r="J159" s="2" t="s">
        <v>10</v>
      </c>
      <c r="K159" s="2" t="s">
        <v>10</v>
      </c>
      <c r="L159" s="2" t="s">
        <v>10</v>
      </c>
      <c r="M159" s="2" t="s">
        <v>10</v>
      </c>
    </row>
    <row r="160" spans="1:13" hidden="1" x14ac:dyDescent="0.35">
      <c r="A160" s="1">
        <v>45001.458333333336</v>
      </c>
      <c r="B160" s="1">
        <v>45001.5</v>
      </c>
      <c r="C160">
        <v>10</v>
      </c>
      <c r="D160" t="s">
        <v>143</v>
      </c>
      <c r="E160" t="str">
        <f>VLOOKUP(flavio_2023_mar_events[[#This Row],[filter]],Filtros,2,0)</f>
        <v>BizDevs</v>
      </c>
      <c r="F160" t="str" cm="1">
        <f t="array" ref="F160">IF(flavio_2023_mar_events[[#This Row],[filter]]="C",LocalizarCliente(flavio_2023_mar_events[[#This Row],[end_date]]),"--")</f>
        <v>--</v>
      </c>
      <c r="G160" s="5">
        <f>flavio_2023_mar_events[[#This Row],[calendar_owner_email]]-flavio_2023_mar_events[[#This Row],[calendar_owner_name]]</f>
        <v>4.1666666664241347E-2</v>
      </c>
      <c r="H160" s="2" t="s">
        <v>77</v>
      </c>
      <c r="I160" s="2" t="s">
        <v>10</v>
      </c>
      <c r="J160" s="2" t="s">
        <v>10</v>
      </c>
      <c r="K160" s="2" t="s">
        <v>10</v>
      </c>
      <c r="L160" s="2" t="s">
        <v>10</v>
      </c>
      <c r="M160" s="2" t="s">
        <v>10</v>
      </c>
    </row>
    <row r="161" spans="1:13" hidden="1" x14ac:dyDescent="0.35">
      <c r="A161" s="1">
        <v>45013.583333333336</v>
      </c>
      <c r="B161" s="1">
        <v>45013.625</v>
      </c>
      <c r="C161">
        <v>10</v>
      </c>
      <c r="D161" t="s">
        <v>136</v>
      </c>
      <c r="E161" t="str">
        <f>VLOOKUP(flavio_2023_mar_events[[#This Row],[filter]],Filtros,2,0)</f>
        <v>Cliente</v>
      </c>
      <c r="F161" t="str" cm="1">
        <f t="array" ref="F161">IF(flavio_2023_mar_events[[#This Row],[filter]]="C",LocalizarCliente(flavio_2023_mar_events[[#This Row],[end_date]]),"--")</f>
        <v>Papo certsign</v>
      </c>
      <c r="G161" s="5">
        <f>flavio_2023_mar_events[[#This Row],[calendar_owner_email]]-flavio_2023_mar_events[[#This Row],[calendar_owner_name]]</f>
        <v>4.1666666664241347E-2</v>
      </c>
      <c r="H161" s="2" t="s">
        <v>116</v>
      </c>
      <c r="I161" s="2" t="s">
        <v>10</v>
      </c>
      <c r="J161" s="2" t="s">
        <v>10</v>
      </c>
      <c r="K161" s="2" t="s">
        <v>10</v>
      </c>
      <c r="L161" s="2" t="s">
        <v>10</v>
      </c>
      <c r="M161" s="2" t="s">
        <v>10</v>
      </c>
    </row>
    <row r="162" spans="1:13" hidden="1" x14ac:dyDescent="0.35">
      <c r="A162" s="1">
        <v>44992.4375</v>
      </c>
      <c r="B162" s="1">
        <v>44992.458333333336</v>
      </c>
      <c r="C162">
        <v>5</v>
      </c>
      <c r="D162" t="s">
        <v>136</v>
      </c>
      <c r="E162" t="str">
        <f>VLOOKUP(flavio_2023_mar_events[[#This Row],[filter]],Filtros,2,0)</f>
        <v>Cliente</v>
      </c>
      <c r="F162" t="str" cm="1">
        <f t="array" ref="F162">IF(flavio_2023_mar_events[[#This Row],[filter]]="C",LocalizarCliente(flavio_2023_mar_events[[#This Row],[end_date]]),"--")</f>
        <v>Papo Open Education Sensedia/Uol Edtech</v>
      </c>
      <c r="G162" s="5">
        <f>flavio_2023_mar_events[[#This Row],[calendar_owner_email]]-flavio_2023_mar_events[[#This Row],[calendar_owner_name]]</f>
        <v>2.0833333335758653E-2</v>
      </c>
      <c r="H162" s="2" t="s">
        <v>42</v>
      </c>
      <c r="I162" s="2" t="s">
        <v>10</v>
      </c>
      <c r="J162" s="2" t="s">
        <v>10</v>
      </c>
      <c r="K162" s="2" t="s">
        <v>10</v>
      </c>
      <c r="L162" s="2" t="s">
        <v>10</v>
      </c>
      <c r="M162" s="2" t="s">
        <v>10</v>
      </c>
    </row>
    <row r="163" spans="1:13" hidden="1" x14ac:dyDescent="0.35">
      <c r="A163" s="1">
        <v>44999.461805555555</v>
      </c>
      <c r="B163" s="1">
        <v>44999.5</v>
      </c>
      <c r="C163">
        <v>9166666666666666</v>
      </c>
      <c r="D163" t="s">
        <v>141</v>
      </c>
      <c r="E163" t="str">
        <f>VLOOKUP(flavio_2023_mar_events[[#This Row],[filter]],Filtros,2,0)</f>
        <v>Solutions</v>
      </c>
      <c r="F163" t="str" cm="1">
        <f t="array" ref="F163">IF(flavio_2023_mar_events[[#This Row],[filter]]="C",LocalizarCliente(flavio_2023_mar_events[[#This Row],[end_date]]),"--")</f>
        <v>--</v>
      </c>
      <c r="G163" s="5">
        <f>flavio_2023_mar_events[[#This Row],[calendar_owner_email]]-flavio_2023_mar_events[[#This Row],[calendar_owner_name]]</f>
        <v>3.8194444445252884E-2</v>
      </c>
      <c r="H163" s="2" t="s">
        <v>67</v>
      </c>
      <c r="I163" s="2" t="s">
        <v>10</v>
      </c>
      <c r="J163" s="2" t="s">
        <v>10</v>
      </c>
      <c r="K163" s="2" t="s">
        <v>10</v>
      </c>
      <c r="L163" s="2" t="s">
        <v>10</v>
      </c>
      <c r="M163" s="2" t="s">
        <v>10</v>
      </c>
    </row>
    <row r="164" spans="1:13" hidden="1" x14ac:dyDescent="0.35">
      <c r="A164" s="1">
        <v>44992.604166666664</v>
      </c>
      <c r="B164" s="1">
        <v>44992.645833333336</v>
      </c>
      <c r="C164">
        <v>10</v>
      </c>
      <c r="D164" t="s">
        <v>143</v>
      </c>
      <c r="E164" t="str">
        <f>VLOOKUP(flavio_2023_mar_events[[#This Row],[filter]],Filtros,2,0)</f>
        <v>BizDevs</v>
      </c>
      <c r="F164" t="str" cm="1">
        <f t="array" ref="F164">IF(flavio_2023_mar_events[[#This Row],[filter]]="C",LocalizarCliente(flavio_2023_mar_events[[#This Row],[end_date]]),"--")</f>
        <v>--</v>
      </c>
      <c r="G164" s="5">
        <f>flavio_2023_mar_events[[#This Row],[calendar_owner_email]]-flavio_2023_mar_events[[#This Row],[calendar_owner_name]]</f>
        <v>4.1666666671517305E-2</v>
      </c>
      <c r="H164" s="2" t="s">
        <v>44</v>
      </c>
      <c r="I164" s="2" t="s">
        <v>10</v>
      </c>
      <c r="J164" s="2" t="s">
        <v>10</v>
      </c>
      <c r="K164" s="2" t="s">
        <v>10</v>
      </c>
      <c r="L164" s="2" t="s">
        <v>10</v>
      </c>
      <c r="M164" s="2" t="s">
        <v>10</v>
      </c>
    </row>
    <row r="165" spans="1:13" hidden="1" x14ac:dyDescent="0.35">
      <c r="A165" s="1">
        <v>45006.604166666664</v>
      </c>
      <c r="B165" s="1">
        <v>45006.645833333336</v>
      </c>
      <c r="C165">
        <v>10</v>
      </c>
      <c r="D165">
        <v>0</v>
      </c>
      <c r="E165" t="str">
        <f>VLOOKUP(flavio_2023_mar_events[[#This Row],[filter]],Filtros,2,0)</f>
        <v>Nulo</v>
      </c>
      <c r="F165" t="str" cm="1">
        <f t="array" ref="F165">IF(flavio_2023_mar_events[[#This Row],[filter]]="C",LocalizarCliente(flavio_2023_mar_events[[#This Row],[end_date]]),"--")</f>
        <v>--</v>
      </c>
      <c r="G165" s="5">
        <f>flavio_2023_mar_events[[#This Row],[calendar_owner_email]]-flavio_2023_mar_events[[#This Row],[calendar_owner_name]]</f>
        <v>4.1666666671517305E-2</v>
      </c>
      <c r="H165" s="2" t="s">
        <v>44</v>
      </c>
      <c r="I165" s="2" t="s">
        <v>10</v>
      </c>
      <c r="J165" s="2" t="s">
        <v>10</v>
      </c>
      <c r="K165" s="2" t="s">
        <v>10</v>
      </c>
      <c r="L165" s="2" t="s">
        <v>10</v>
      </c>
      <c r="M165" s="2" t="s">
        <v>10</v>
      </c>
    </row>
    <row r="166" spans="1:13" hidden="1" x14ac:dyDescent="0.35">
      <c r="A166" s="1">
        <v>45008.4375</v>
      </c>
      <c r="B166" s="1">
        <v>45008.458333333336</v>
      </c>
      <c r="C166">
        <v>5</v>
      </c>
      <c r="D166">
        <v>0</v>
      </c>
      <c r="E166" t="str">
        <f>VLOOKUP(flavio_2023_mar_events[[#This Row],[filter]],Filtros,2,0)</f>
        <v>Nulo</v>
      </c>
      <c r="F166" t="str" cm="1">
        <f t="array" ref="F166">IF(flavio_2023_mar_events[[#This Row],[filter]]="C",LocalizarCliente(flavio_2023_mar_events[[#This Row],[end_date]]),"--")</f>
        <v>--</v>
      </c>
      <c r="G166" s="5">
        <f>flavio_2023_mar_events[[#This Row],[calendar_owner_email]]-flavio_2023_mar_events[[#This Row],[calendar_owner_name]]</f>
        <v>2.0833333335758653E-2</v>
      </c>
      <c r="H166" s="2" t="s">
        <v>101</v>
      </c>
      <c r="I166" s="2" t="s">
        <v>10</v>
      </c>
      <c r="J166" s="2" t="s">
        <v>10</v>
      </c>
      <c r="K166" s="2" t="s">
        <v>10</v>
      </c>
      <c r="L166" s="2" t="s">
        <v>10</v>
      </c>
      <c r="M166" s="2" t="s">
        <v>10</v>
      </c>
    </row>
    <row r="167" spans="1:13" x14ac:dyDescent="0.35">
      <c r="A167" s="1">
        <v>45002.666666666664</v>
      </c>
      <c r="B167" s="1">
        <v>45002.708333333336</v>
      </c>
      <c r="C167">
        <v>10</v>
      </c>
      <c r="D167" t="s">
        <v>135</v>
      </c>
      <c r="E167" t="str">
        <f>VLOOKUP(flavio_2023_mar_events[[#This Row],[filter]],Filtros,2,0)</f>
        <v>Education</v>
      </c>
      <c r="F167" t="str" cm="1">
        <f t="array" ref="F167">IF(flavio_2023_mar_events[[#This Row],[filter]]="C",LocalizarCliente(flavio_2023_mar_events[[#This Row],[end_date]]),"--")</f>
        <v>--</v>
      </c>
      <c r="G167" s="5">
        <f>flavio_2023_mar_events[[#This Row],[calendar_owner_email]]-flavio_2023_mar_events[[#This Row],[calendar_owner_name]]</f>
        <v>4.1666666671517305E-2</v>
      </c>
      <c r="H167" s="2" t="s">
        <v>87</v>
      </c>
      <c r="I167" s="2" t="s">
        <v>10</v>
      </c>
      <c r="J167" s="2" t="s">
        <v>10</v>
      </c>
      <c r="K167" s="2" t="s">
        <v>10</v>
      </c>
      <c r="L167" s="2" t="s">
        <v>10</v>
      </c>
      <c r="M167" s="2" t="s">
        <v>10</v>
      </c>
    </row>
    <row r="168" spans="1:13" hidden="1" x14ac:dyDescent="0.35">
      <c r="A168" s="1">
        <v>45007.708333333336</v>
      </c>
      <c r="B168" s="1">
        <v>45007.75</v>
      </c>
      <c r="C168">
        <v>10</v>
      </c>
      <c r="D168">
        <v>0</v>
      </c>
      <c r="E168" t="str">
        <f>VLOOKUP(flavio_2023_mar_events[[#This Row],[filter]],Filtros,2,0)</f>
        <v>Nulo</v>
      </c>
      <c r="F168" t="str" cm="1">
        <f t="array" ref="F168">IF(flavio_2023_mar_events[[#This Row],[filter]]="C",LocalizarCliente(flavio_2023_mar_events[[#This Row],[end_date]]),"--")</f>
        <v>--</v>
      </c>
      <c r="G168" s="5">
        <f>flavio_2023_mar_events[[#This Row],[calendar_owner_email]]-flavio_2023_mar_events[[#This Row],[calendar_owner_name]]</f>
        <v>4.1666666664241347E-2</v>
      </c>
      <c r="H168" s="2" t="s">
        <v>87</v>
      </c>
      <c r="I168" s="2" t="s">
        <v>10</v>
      </c>
      <c r="J168" s="2" t="s">
        <v>10</v>
      </c>
      <c r="K168" s="2" t="s">
        <v>10</v>
      </c>
      <c r="L168" s="2" t="s">
        <v>10</v>
      </c>
      <c r="M168" s="2" t="s">
        <v>10</v>
      </c>
    </row>
    <row r="169" spans="1:13" hidden="1" x14ac:dyDescent="0.35">
      <c r="A169" s="1">
        <v>44986.375</v>
      </c>
      <c r="B169" s="1">
        <v>44986.520833333336</v>
      </c>
      <c r="C169">
        <v>35</v>
      </c>
      <c r="D169" t="s">
        <v>144</v>
      </c>
      <c r="E169" t="str">
        <f>VLOOKUP(flavio_2023_mar_events[[#This Row],[filter]],Filtros,2,0)</f>
        <v>Parcerias</v>
      </c>
      <c r="F169" t="str" cm="1">
        <f t="array" ref="F169">IF(flavio_2023_mar_events[[#This Row],[filter]]="C",LocalizarCliente(flavio_2023_mar_events[[#This Row],[end_date]]),"--")</f>
        <v>--</v>
      </c>
      <c r="G169" s="5">
        <f>flavio_2023_mar_events[[#This Row],[calendar_owner_email]]-flavio_2023_mar_events[[#This Row],[calendar_owner_name]]</f>
        <v>0.14583333333575865</v>
      </c>
      <c r="H169" s="2" t="s">
        <v>11</v>
      </c>
      <c r="I169" s="2" t="s">
        <v>10</v>
      </c>
      <c r="J169" s="2" t="s">
        <v>10</v>
      </c>
      <c r="K169" s="2" t="s">
        <v>10</v>
      </c>
      <c r="L169" s="2" t="s">
        <v>10</v>
      </c>
      <c r="M169" s="2" t="s">
        <v>10</v>
      </c>
    </row>
    <row r="170" spans="1:13" hidden="1" x14ac:dyDescent="0.35">
      <c r="A170" s="1">
        <v>44992.416666666664</v>
      </c>
      <c r="B170" s="1">
        <v>44992.458333333336</v>
      </c>
      <c r="C170">
        <v>10</v>
      </c>
      <c r="D170" t="s">
        <v>136</v>
      </c>
      <c r="E170" t="str">
        <f>VLOOKUP(flavio_2023_mar_events[[#This Row],[filter]],Filtros,2,0)</f>
        <v>Cliente</v>
      </c>
      <c r="F170" t="str" cm="1">
        <f t="array" ref="F170">IF(flavio_2023_mar_events[[#This Row],[filter]]="C",LocalizarCliente(flavio_2023_mar_events[[#This Row],[end_date]]),"--")</f>
        <v>Review Expand</v>
      </c>
      <c r="G170" s="5">
        <f>flavio_2023_mar_events[[#This Row],[calendar_owner_email]]-flavio_2023_mar_events[[#This Row],[calendar_owner_name]]</f>
        <v>4.1666666671517305E-2</v>
      </c>
      <c r="H170" s="2" t="s">
        <v>41</v>
      </c>
      <c r="I170" s="2" t="s">
        <v>10</v>
      </c>
      <c r="J170" s="2" t="s">
        <v>10</v>
      </c>
      <c r="K170" s="2" t="s">
        <v>10</v>
      </c>
      <c r="L170" s="2" t="s">
        <v>10</v>
      </c>
      <c r="M170" s="2" t="s">
        <v>10</v>
      </c>
    </row>
    <row r="171" spans="1:13" hidden="1" x14ac:dyDescent="0.35">
      <c r="A171" s="1">
        <v>44987.395833333336</v>
      </c>
      <c r="B171" s="1">
        <v>44987.458333333336</v>
      </c>
      <c r="C171">
        <v>15</v>
      </c>
      <c r="D171" t="s">
        <v>141</v>
      </c>
      <c r="E171" t="str">
        <f>VLOOKUP(flavio_2023_mar_events[[#This Row],[filter]],Filtros,2,0)</f>
        <v>Solutions</v>
      </c>
      <c r="F171" t="str" cm="1">
        <f t="array" ref="F171">IF(flavio_2023_mar_events[[#This Row],[filter]]="C",LocalizarCliente(flavio_2023_mar_events[[#This Row],[end_date]]),"--")</f>
        <v>--</v>
      </c>
      <c r="G171" s="5">
        <f>flavio_2023_mar_events[[#This Row],[calendar_owner_email]]-flavio_2023_mar_events[[#This Row],[calendar_owner_name]]</f>
        <v>6.25E-2</v>
      </c>
      <c r="H171" s="2" t="s">
        <v>19</v>
      </c>
      <c r="I171" s="2" t="s">
        <v>10</v>
      </c>
      <c r="J171" s="2" t="s">
        <v>10</v>
      </c>
      <c r="K171" s="2" t="s">
        <v>10</v>
      </c>
      <c r="L171" s="2" t="s">
        <v>10</v>
      </c>
      <c r="M171" s="2" t="s">
        <v>10</v>
      </c>
    </row>
    <row r="172" spans="1:13" hidden="1" x14ac:dyDescent="0.35">
      <c r="A172" s="1">
        <v>44987.416666666664</v>
      </c>
      <c r="B172" s="1">
        <v>44987.4375</v>
      </c>
      <c r="C172">
        <v>5</v>
      </c>
      <c r="D172" t="s">
        <v>141</v>
      </c>
      <c r="E172" t="str">
        <f>VLOOKUP(flavio_2023_mar_events[[#This Row],[filter]],Filtros,2,0)</f>
        <v>Solutions</v>
      </c>
      <c r="F172" t="str" cm="1">
        <f t="array" ref="F172">IF(flavio_2023_mar_events[[#This Row],[filter]]="C",LocalizarCliente(flavio_2023_mar_events[[#This Row],[end_date]]),"--")</f>
        <v>--</v>
      </c>
      <c r="G172" s="5">
        <f>flavio_2023_mar_events[[#This Row],[calendar_owner_email]]-flavio_2023_mar_events[[#This Row],[calendar_owner_name]]</f>
        <v>2.0833333335758653E-2</v>
      </c>
      <c r="H172" s="2" t="s">
        <v>19</v>
      </c>
      <c r="I172" s="2" t="s">
        <v>10</v>
      </c>
      <c r="J172" s="2" t="s">
        <v>10</v>
      </c>
      <c r="K172" s="2" t="s">
        <v>10</v>
      </c>
      <c r="L172" s="2" t="s">
        <v>10</v>
      </c>
      <c r="M172" s="2" t="s">
        <v>10</v>
      </c>
    </row>
    <row r="173" spans="1:13" hidden="1" x14ac:dyDescent="0.35">
      <c r="A173" s="1">
        <v>44991.416666666664</v>
      </c>
      <c r="B173" s="1">
        <v>44991.458333333336</v>
      </c>
      <c r="C173">
        <v>10</v>
      </c>
      <c r="D173" t="s">
        <v>143</v>
      </c>
      <c r="E173" t="str">
        <f>VLOOKUP(flavio_2023_mar_events[[#This Row],[filter]],Filtros,2,0)</f>
        <v>BizDevs</v>
      </c>
      <c r="F173" t="str" cm="1">
        <f t="array" ref="F173">IF(flavio_2023_mar_events[[#This Row],[filter]]="C",LocalizarCliente(flavio_2023_mar_events[[#This Row],[end_date]]),"--")</f>
        <v>--</v>
      </c>
      <c r="G173" s="5">
        <f>flavio_2023_mar_events[[#This Row],[calendar_owner_email]]-flavio_2023_mar_events[[#This Row],[calendar_owner_name]]</f>
        <v>4.1666666671517305E-2</v>
      </c>
      <c r="H173" s="2" t="s">
        <v>33</v>
      </c>
      <c r="I173" s="2" t="s">
        <v>10</v>
      </c>
      <c r="J173" s="2" t="s">
        <v>10</v>
      </c>
      <c r="K173" s="2" t="s">
        <v>10</v>
      </c>
      <c r="L173" s="2" t="s">
        <v>10</v>
      </c>
      <c r="M173" s="2" t="s">
        <v>10</v>
      </c>
    </row>
    <row r="174" spans="1:13" hidden="1" x14ac:dyDescent="0.35">
      <c r="A174" s="1">
        <v>44999.583333333336</v>
      </c>
      <c r="B174" s="1">
        <v>44999.625</v>
      </c>
      <c r="C174">
        <v>10</v>
      </c>
      <c r="D174" t="s">
        <v>141</v>
      </c>
      <c r="E174" t="str">
        <f>VLOOKUP(flavio_2023_mar_events[[#This Row],[filter]],Filtros,2,0)</f>
        <v>Solutions</v>
      </c>
      <c r="F174" t="str" cm="1">
        <f t="array" ref="F174">IF(flavio_2023_mar_events[[#This Row],[filter]]="C",LocalizarCliente(flavio_2023_mar_events[[#This Row],[end_date]]),"--")</f>
        <v>--</v>
      </c>
      <c r="G174" s="5">
        <f>flavio_2023_mar_events[[#This Row],[calendar_owner_email]]-flavio_2023_mar_events[[#This Row],[calendar_owner_name]]</f>
        <v>4.1666666664241347E-2</v>
      </c>
      <c r="H174" s="2" t="s">
        <v>69</v>
      </c>
      <c r="I174" s="2" t="s">
        <v>10</v>
      </c>
      <c r="J174" s="2" t="s">
        <v>10</v>
      </c>
      <c r="K174" s="2" t="s">
        <v>10</v>
      </c>
      <c r="L174" s="2" t="s">
        <v>10</v>
      </c>
      <c r="M174" s="2" t="s">
        <v>10</v>
      </c>
    </row>
    <row r="175" spans="1:13" hidden="1" x14ac:dyDescent="0.35">
      <c r="A175" s="1">
        <v>45013.541666666664</v>
      </c>
      <c r="B175" s="1">
        <v>45013.583333333336</v>
      </c>
      <c r="C175">
        <v>10</v>
      </c>
      <c r="D175" t="s">
        <v>136</v>
      </c>
      <c r="E175" t="str">
        <f>VLOOKUP(flavio_2023_mar_events[[#This Row],[filter]],Filtros,2,0)</f>
        <v>Cliente</v>
      </c>
      <c r="F175" t="str" cm="1">
        <f t="array" ref="F175">IF(flavio_2023_mar_events[[#This Row],[filter]]="C",LocalizarCliente(flavio_2023_mar_events[[#This Row],[end_date]]),"--")</f>
        <v>Sensedia</v>
      </c>
      <c r="G175" s="5">
        <f>flavio_2023_mar_events[[#This Row],[calendar_owner_email]]-flavio_2023_mar_events[[#This Row],[calendar_owner_name]]</f>
        <v>4.1666666671517305E-2</v>
      </c>
      <c r="H175" s="2" t="s">
        <v>115</v>
      </c>
      <c r="I175" s="2" t="s">
        <v>10</v>
      </c>
      <c r="J175" s="2" t="s">
        <v>10</v>
      </c>
      <c r="K175" s="2" t="s">
        <v>10</v>
      </c>
      <c r="L175" s="2" t="s">
        <v>10</v>
      </c>
      <c r="M175" s="2" t="s">
        <v>10</v>
      </c>
    </row>
    <row r="176" spans="1:13" hidden="1" x14ac:dyDescent="0.35">
      <c r="A176" s="1">
        <v>44999.625</v>
      </c>
      <c r="B176" s="1">
        <v>44999.666666666664</v>
      </c>
      <c r="C176">
        <v>10</v>
      </c>
      <c r="D176">
        <v>0</v>
      </c>
      <c r="E176" t="str">
        <f>VLOOKUP(flavio_2023_mar_events[[#This Row],[filter]],Filtros,2,0)</f>
        <v>Nulo</v>
      </c>
      <c r="F176" t="str" cm="1">
        <f t="array" ref="F176">IF(flavio_2023_mar_events[[#This Row],[filter]]="C",LocalizarCliente(flavio_2023_mar_events[[#This Row],[end_date]]),"--")</f>
        <v>--</v>
      </c>
      <c r="G176" s="5">
        <f>flavio_2023_mar_events[[#This Row],[calendar_owner_email]]-flavio_2023_mar_events[[#This Row],[calendar_owner_name]]</f>
        <v>4.1666666664241347E-2</v>
      </c>
      <c r="H176" s="2" t="s">
        <v>72</v>
      </c>
      <c r="I176" s="2" t="s">
        <v>10</v>
      </c>
      <c r="J176" s="2" t="s">
        <v>10</v>
      </c>
      <c r="K176" s="2" t="s">
        <v>10</v>
      </c>
      <c r="L176" s="2" t="s">
        <v>10</v>
      </c>
      <c r="M176" s="2" t="s">
        <v>10</v>
      </c>
    </row>
    <row r="177" spans="1:13" hidden="1" x14ac:dyDescent="0.35">
      <c r="A177" s="1">
        <v>44999.416666666664</v>
      </c>
      <c r="B177" s="1">
        <v>44999.479166666664</v>
      </c>
      <c r="C177">
        <v>15</v>
      </c>
      <c r="D177" t="s">
        <v>141</v>
      </c>
      <c r="E177" t="str">
        <f>VLOOKUP(flavio_2023_mar_events[[#This Row],[filter]],Filtros,2,0)</f>
        <v>Solutions</v>
      </c>
      <c r="F177" t="str" cm="1">
        <f t="array" ref="F177">IF(flavio_2023_mar_events[[#This Row],[filter]]="C",LocalizarCliente(flavio_2023_mar_events[[#This Row],[end_date]]),"--")</f>
        <v>--</v>
      </c>
      <c r="G177" s="5">
        <f>flavio_2023_mar_events[[#This Row],[calendar_owner_email]]-flavio_2023_mar_events[[#This Row],[calendar_owner_name]]</f>
        <v>6.25E-2</v>
      </c>
      <c r="H177" s="2" t="s">
        <v>65</v>
      </c>
      <c r="I177" s="2" t="s">
        <v>10</v>
      </c>
      <c r="J177" s="2" t="s">
        <v>10</v>
      </c>
      <c r="K177" s="2" t="s">
        <v>10</v>
      </c>
      <c r="L177" s="2" t="s">
        <v>10</v>
      </c>
      <c r="M177" s="2" t="s">
        <v>10</v>
      </c>
    </row>
    <row r="178" spans="1:13" hidden="1" x14ac:dyDescent="0.35">
      <c r="A178" s="1">
        <v>44988.458333333336</v>
      </c>
      <c r="B178" s="1">
        <v>44988.5</v>
      </c>
      <c r="C178">
        <v>10</v>
      </c>
      <c r="D178" t="s">
        <v>136</v>
      </c>
      <c r="E178" t="str">
        <f>VLOOKUP(flavio_2023_mar_events[[#This Row],[filter]],Filtros,2,0)</f>
        <v>Cliente</v>
      </c>
      <c r="F178" t="str" cm="1">
        <f t="array" ref="F178">IF(flavio_2023_mar_events[[#This Row],[filter]]="C",LocalizarCliente(flavio_2023_mar_events[[#This Row],[end_date]]),"--")</f>
        <v>Sensedia</v>
      </c>
      <c r="G178" s="5">
        <f>flavio_2023_mar_events[[#This Row],[calendar_owner_email]]-flavio_2023_mar_events[[#This Row],[calendar_owner_name]]</f>
        <v>4.1666666664241347E-2</v>
      </c>
      <c r="H178" s="2" t="s">
        <v>27</v>
      </c>
      <c r="I178" s="2" t="s">
        <v>10</v>
      </c>
      <c r="J178" s="2" t="s">
        <v>10</v>
      </c>
      <c r="K178" s="2" t="s">
        <v>10</v>
      </c>
      <c r="L178" s="2" t="s">
        <v>10</v>
      </c>
      <c r="M178" s="2" t="s">
        <v>10</v>
      </c>
    </row>
    <row r="179" spans="1:13" hidden="1" x14ac:dyDescent="0.35">
      <c r="A179" s="1">
        <v>45014.708333333336</v>
      </c>
      <c r="B179" s="1">
        <v>45014.739583333336</v>
      </c>
      <c r="C179">
        <v>75</v>
      </c>
      <c r="D179" t="s">
        <v>141</v>
      </c>
      <c r="E179" t="str">
        <f>VLOOKUP(flavio_2023_mar_events[[#This Row],[filter]],Filtros,2,0)</f>
        <v>Solutions</v>
      </c>
      <c r="F179" t="str" cm="1">
        <f t="array" ref="F179">IF(flavio_2023_mar_events[[#This Row],[filter]]="C",LocalizarCliente(flavio_2023_mar_events[[#This Row],[end_date]]),"--")</f>
        <v>--</v>
      </c>
      <c r="G179" s="5">
        <f>flavio_2023_mar_events[[#This Row],[calendar_owner_email]]-flavio_2023_mar_events[[#This Row],[calendar_owner_name]]</f>
        <v>3.125E-2</v>
      </c>
      <c r="H179" s="2" t="s">
        <v>121</v>
      </c>
      <c r="I179" s="2" t="s">
        <v>10</v>
      </c>
      <c r="J179" s="2" t="s">
        <v>10</v>
      </c>
      <c r="K179" s="2" t="s">
        <v>10</v>
      </c>
      <c r="L179" s="2" t="s">
        <v>10</v>
      </c>
      <c r="M179" s="2" t="s">
        <v>10</v>
      </c>
    </row>
    <row r="180" spans="1:13" hidden="1" x14ac:dyDescent="0.35">
      <c r="A180" s="1">
        <v>45016.5</v>
      </c>
      <c r="B180" s="1">
        <v>45016.520833333336</v>
      </c>
      <c r="C180">
        <v>5</v>
      </c>
      <c r="D180">
        <v>0</v>
      </c>
      <c r="E180" t="str">
        <f>VLOOKUP(flavio_2023_mar_events[[#This Row],[filter]],Filtros,2,0)</f>
        <v>Nulo</v>
      </c>
      <c r="F180" t="str" cm="1">
        <f t="array" ref="F180">IF(flavio_2023_mar_events[[#This Row],[filter]]="C",LocalizarCliente(flavio_2023_mar_events[[#This Row],[end_date]]),"--")</f>
        <v>--</v>
      </c>
      <c r="G180" s="5">
        <f>flavio_2023_mar_events[[#This Row],[calendar_owner_email]]-flavio_2023_mar_events[[#This Row],[calendar_owner_name]]</f>
        <v>2.0833333335758653E-2</v>
      </c>
      <c r="H180" s="2" t="s">
        <v>132</v>
      </c>
      <c r="I180" s="2" t="s">
        <v>10</v>
      </c>
      <c r="J180" s="2" t="s">
        <v>10</v>
      </c>
      <c r="K180" s="2" t="s">
        <v>10</v>
      </c>
      <c r="L180" s="2" t="s">
        <v>10</v>
      </c>
      <c r="M180" s="2" t="s">
        <v>10</v>
      </c>
    </row>
    <row r="181" spans="1:13" hidden="1" x14ac:dyDescent="0.35">
      <c r="A181" s="1">
        <v>44995.645833333336</v>
      </c>
      <c r="B181" s="1">
        <v>44995.677083333336</v>
      </c>
      <c r="C181">
        <v>75</v>
      </c>
      <c r="D181" t="s">
        <v>136</v>
      </c>
      <c r="E181" t="str">
        <f>VLOOKUP(flavio_2023_mar_events[[#This Row],[filter]],Filtros,2,0)</f>
        <v>Cliente</v>
      </c>
      <c r="F181" t="str" cm="1">
        <f t="array" ref="F181">IF(flavio_2023_mar_events[[#This Row],[filter]]="C",LocalizarCliente(flavio_2023_mar_events[[#This Row],[end_date]]),"--")</f>
        <v>Sensedia &amp; Vibra Energia</v>
      </c>
      <c r="G181" s="5">
        <f>flavio_2023_mar_events[[#This Row],[calendar_owner_email]]-flavio_2023_mar_events[[#This Row],[calendar_owner_name]]</f>
        <v>3.125E-2</v>
      </c>
      <c r="H181" s="2" t="s">
        <v>60</v>
      </c>
      <c r="I181" s="2" t="s">
        <v>10</v>
      </c>
      <c r="J181" s="2" t="s">
        <v>10</v>
      </c>
      <c r="K181" s="2" t="s">
        <v>10</v>
      </c>
      <c r="L181" s="2" t="s">
        <v>10</v>
      </c>
      <c r="M181" s="2" t="s">
        <v>10</v>
      </c>
    </row>
    <row r="182" spans="1:13" hidden="1" x14ac:dyDescent="0.35">
      <c r="A182" s="1">
        <v>44994.583333333336</v>
      </c>
      <c r="B182" s="1">
        <v>44994.625</v>
      </c>
      <c r="C182">
        <v>10</v>
      </c>
      <c r="D182">
        <v>0</v>
      </c>
      <c r="E182" t="str">
        <f>VLOOKUP(flavio_2023_mar_events[[#This Row],[filter]],Filtros,2,0)</f>
        <v>Nulo</v>
      </c>
      <c r="F182" t="str" cm="1">
        <f t="array" ref="F182">IF(flavio_2023_mar_events[[#This Row],[filter]]="C",LocalizarCliente(flavio_2023_mar_events[[#This Row],[end_date]]),"--")</f>
        <v>--</v>
      </c>
      <c r="G182" s="5">
        <f>flavio_2023_mar_events[[#This Row],[calendar_owner_email]]-flavio_2023_mar_events[[#This Row],[calendar_owner_name]]</f>
        <v>4.1666666664241347E-2</v>
      </c>
      <c r="H182" s="2" t="s">
        <v>51</v>
      </c>
      <c r="I182" s="2" t="s">
        <v>10</v>
      </c>
      <c r="J182" s="2" t="s">
        <v>10</v>
      </c>
      <c r="K182" s="2" t="s">
        <v>10</v>
      </c>
      <c r="L182" s="2" t="s">
        <v>10</v>
      </c>
      <c r="M182" s="2" t="s">
        <v>10</v>
      </c>
    </row>
    <row r="183" spans="1:13" hidden="1" x14ac:dyDescent="0.35">
      <c r="A183" s="1">
        <v>45000.375</v>
      </c>
      <c r="B183" s="1">
        <v>45000.416666666664</v>
      </c>
      <c r="C183">
        <v>10</v>
      </c>
      <c r="D183">
        <v>0</v>
      </c>
      <c r="E183" t="str">
        <f>VLOOKUP(flavio_2023_mar_events[[#This Row],[filter]],Filtros,2,0)</f>
        <v>Nulo</v>
      </c>
      <c r="F183" t="str" cm="1">
        <f t="array" ref="F183">IF(flavio_2023_mar_events[[#This Row],[filter]]="C",LocalizarCliente(flavio_2023_mar_events[[#This Row],[end_date]]),"--")</f>
        <v>--</v>
      </c>
      <c r="G183" s="5">
        <f>flavio_2023_mar_events[[#This Row],[calendar_owner_email]]-flavio_2023_mar_events[[#This Row],[calendar_owner_name]]</f>
        <v>4.1666666664241347E-2</v>
      </c>
      <c r="H183" s="2" t="s">
        <v>74</v>
      </c>
      <c r="I183" s="2" t="s">
        <v>10</v>
      </c>
      <c r="J183" s="2" t="s">
        <v>10</v>
      </c>
      <c r="K183" s="2" t="s">
        <v>10</v>
      </c>
      <c r="L183" s="2" t="s">
        <v>10</v>
      </c>
      <c r="M183" s="2" t="s">
        <v>10</v>
      </c>
    </row>
    <row r="184" spans="1:13" hidden="1" x14ac:dyDescent="0.35">
      <c r="A184" s="1">
        <v>44988.666666666664</v>
      </c>
      <c r="B184" s="1">
        <v>44988.770833333336</v>
      </c>
      <c r="C184">
        <v>25</v>
      </c>
      <c r="D184">
        <v>0</v>
      </c>
      <c r="E184" t="str">
        <f>VLOOKUP(flavio_2023_mar_events[[#This Row],[filter]],Filtros,2,0)</f>
        <v>Nulo</v>
      </c>
      <c r="F184" t="str" cm="1">
        <f t="array" ref="F184">IF(flavio_2023_mar_events[[#This Row],[filter]]="C",LocalizarCliente(flavio_2023_mar_events[[#This Row],[end_date]]),"--")</f>
        <v>--</v>
      </c>
      <c r="G184" s="5">
        <f>flavio_2023_mar_events[[#This Row],[calendar_owner_email]]-flavio_2023_mar_events[[#This Row],[calendar_owner_name]]</f>
        <v>0.10416666667151731</v>
      </c>
      <c r="H184" s="2" t="s">
        <v>31</v>
      </c>
      <c r="I184" s="2" t="s">
        <v>10</v>
      </c>
      <c r="J184" s="2" t="s">
        <v>10</v>
      </c>
      <c r="K184" s="2" t="s">
        <v>10</v>
      </c>
      <c r="L184" s="2" t="s">
        <v>10</v>
      </c>
      <c r="M184" s="2" t="s">
        <v>10</v>
      </c>
    </row>
    <row r="185" spans="1:13" hidden="1" x14ac:dyDescent="0.35">
      <c r="A185" s="1">
        <v>45009.5625</v>
      </c>
      <c r="B185" s="1">
        <v>45009.625</v>
      </c>
      <c r="C185">
        <v>15</v>
      </c>
      <c r="D185" t="s">
        <v>141</v>
      </c>
      <c r="E185" t="str">
        <f>VLOOKUP(flavio_2023_mar_events[[#This Row],[filter]],Filtros,2,0)</f>
        <v>Solutions</v>
      </c>
      <c r="F185" t="str" cm="1">
        <f t="array" ref="F185">IF(flavio_2023_mar_events[[#This Row],[filter]]="C",LocalizarCliente(flavio_2023_mar_events[[#This Row],[end_date]]),"--")</f>
        <v>--</v>
      </c>
      <c r="G185" s="5">
        <f>flavio_2023_mar_events[[#This Row],[calendar_owner_email]]-flavio_2023_mar_events[[#This Row],[calendar_owner_name]]</f>
        <v>6.25E-2</v>
      </c>
      <c r="H185" s="2" t="s">
        <v>108</v>
      </c>
      <c r="I185" s="2" t="s">
        <v>10</v>
      </c>
      <c r="J185" s="2" t="s">
        <v>10</v>
      </c>
      <c r="K185" s="2" t="s">
        <v>10</v>
      </c>
      <c r="L185" s="2" t="s">
        <v>10</v>
      </c>
      <c r="M185" s="2" t="s">
        <v>10</v>
      </c>
    </row>
    <row r="186" spans="1:13" hidden="1" x14ac:dyDescent="0.35">
      <c r="A186" s="1">
        <v>45016.5625</v>
      </c>
      <c r="B186" s="1">
        <v>45016.625</v>
      </c>
      <c r="C186">
        <v>15</v>
      </c>
      <c r="D186">
        <v>0</v>
      </c>
      <c r="E186" t="str">
        <f>VLOOKUP(flavio_2023_mar_events[[#This Row],[filter]],Filtros,2,0)</f>
        <v>Nulo</v>
      </c>
      <c r="F186" t="str" cm="1">
        <f t="array" ref="F186">IF(flavio_2023_mar_events[[#This Row],[filter]]="C",LocalizarCliente(flavio_2023_mar_events[[#This Row],[end_date]]),"--")</f>
        <v>--</v>
      </c>
      <c r="G186" s="5">
        <f>flavio_2023_mar_events[[#This Row],[calendar_owner_email]]-flavio_2023_mar_events[[#This Row],[calendar_owner_name]]</f>
        <v>6.25E-2</v>
      </c>
      <c r="H186" s="2" t="s">
        <v>108</v>
      </c>
      <c r="I186" s="2" t="s">
        <v>10</v>
      </c>
      <c r="J186" s="2" t="s">
        <v>10</v>
      </c>
      <c r="K186" s="2" t="s">
        <v>10</v>
      </c>
      <c r="L186" s="2" t="s">
        <v>10</v>
      </c>
      <c r="M186" s="2" t="s">
        <v>10</v>
      </c>
    </row>
    <row r="187" spans="1:13" hidden="1" x14ac:dyDescent="0.35">
      <c r="A187" s="1">
        <v>44995.5625</v>
      </c>
      <c r="B187" s="1">
        <v>44995.625</v>
      </c>
      <c r="C187">
        <v>15</v>
      </c>
      <c r="D187" t="s">
        <v>141</v>
      </c>
      <c r="E187" t="str">
        <f>VLOOKUP(flavio_2023_mar_events[[#This Row],[filter]],Filtros,2,0)</f>
        <v>Solutions</v>
      </c>
      <c r="F187" t="str" cm="1">
        <f t="array" ref="F187">IF(flavio_2023_mar_events[[#This Row],[filter]]="C",LocalizarCliente(flavio_2023_mar_events[[#This Row],[end_date]]),"--")</f>
        <v>--</v>
      </c>
      <c r="G187" s="5">
        <f>flavio_2023_mar_events[[#This Row],[calendar_owner_email]]-flavio_2023_mar_events[[#This Row],[calendar_owner_name]]</f>
        <v>6.25E-2</v>
      </c>
      <c r="H187" s="2" t="s">
        <v>57</v>
      </c>
      <c r="I187" s="2" t="s">
        <v>10</v>
      </c>
      <c r="J187" s="2" t="s">
        <v>10</v>
      </c>
      <c r="K187" s="2" t="s">
        <v>10</v>
      </c>
      <c r="L187" s="2" t="s">
        <v>10</v>
      </c>
      <c r="M187" s="2" t="s">
        <v>10</v>
      </c>
    </row>
    <row r="188" spans="1:13" hidden="1" x14ac:dyDescent="0.35">
      <c r="A188" s="1">
        <v>45002.5625</v>
      </c>
      <c r="B188" s="1">
        <v>45002.625</v>
      </c>
      <c r="C188">
        <v>15</v>
      </c>
      <c r="D188">
        <v>0</v>
      </c>
      <c r="E188" t="str">
        <f>VLOOKUP(flavio_2023_mar_events[[#This Row],[filter]],Filtros,2,0)</f>
        <v>Nulo</v>
      </c>
      <c r="F188" t="str" cm="1">
        <f t="array" ref="F188">IF(flavio_2023_mar_events[[#This Row],[filter]]="C",LocalizarCliente(flavio_2023_mar_events[[#This Row],[end_date]]),"--")</f>
        <v>--</v>
      </c>
      <c r="G188" s="5">
        <f>flavio_2023_mar_events[[#This Row],[calendar_owner_email]]-flavio_2023_mar_events[[#This Row],[calendar_owner_name]]</f>
        <v>6.25E-2</v>
      </c>
      <c r="H188" s="2" t="s">
        <v>83</v>
      </c>
      <c r="I188" s="2" t="s">
        <v>10</v>
      </c>
      <c r="J188" s="2" t="s">
        <v>10</v>
      </c>
      <c r="K188" s="2" t="s">
        <v>10</v>
      </c>
      <c r="L188" s="2" t="s">
        <v>10</v>
      </c>
      <c r="M188" s="2" t="s">
        <v>10</v>
      </c>
    </row>
    <row r="189" spans="1:13" hidden="1" x14ac:dyDescent="0.35">
      <c r="A189" s="1">
        <v>44998.4375</v>
      </c>
      <c r="B189" s="1">
        <v>44998.458333333336</v>
      </c>
      <c r="C189">
        <v>5</v>
      </c>
      <c r="D189" t="s">
        <v>141</v>
      </c>
      <c r="E189" t="str">
        <f>VLOOKUP(flavio_2023_mar_events[[#This Row],[filter]],Filtros,2,0)</f>
        <v>Solutions</v>
      </c>
      <c r="F189" t="str" cm="1">
        <f t="array" ref="F189">IF(flavio_2023_mar_events[[#This Row],[filter]]="C",LocalizarCliente(flavio_2023_mar_events[[#This Row],[end_date]]),"--")</f>
        <v>--</v>
      </c>
      <c r="G189" s="5">
        <f>flavio_2023_mar_events[[#This Row],[calendar_owner_email]]-flavio_2023_mar_events[[#This Row],[calendar_owner_name]]</f>
        <v>2.0833333335758653E-2</v>
      </c>
      <c r="H189" s="2" t="s">
        <v>62</v>
      </c>
      <c r="I189" s="2" t="s">
        <v>10</v>
      </c>
      <c r="J189" s="2" t="s">
        <v>10</v>
      </c>
      <c r="K189" s="2" t="s">
        <v>10</v>
      </c>
      <c r="L189" s="2" t="s">
        <v>10</v>
      </c>
      <c r="M189" s="2" t="s">
        <v>10</v>
      </c>
    </row>
    <row r="190" spans="1:13" hidden="1" x14ac:dyDescent="0.35">
      <c r="A190" s="1">
        <v>44988.5625</v>
      </c>
      <c r="B190" s="1">
        <v>44988.625</v>
      </c>
      <c r="C190">
        <v>15</v>
      </c>
      <c r="D190">
        <v>0</v>
      </c>
      <c r="E190" t="str">
        <f>VLOOKUP(flavio_2023_mar_events[[#This Row],[filter]],Filtros,2,0)</f>
        <v>Nulo</v>
      </c>
      <c r="F190" t="str" cm="1">
        <f t="array" ref="F190">IF(flavio_2023_mar_events[[#This Row],[filter]]="C",LocalizarCliente(flavio_2023_mar_events[[#This Row],[end_date]]),"--")</f>
        <v>--</v>
      </c>
      <c r="G190" s="5">
        <f>flavio_2023_mar_events[[#This Row],[calendar_owner_email]]-flavio_2023_mar_events[[#This Row],[calendar_owner_name]]</f>
        <v>6.25E-2</v>
      </c>
      <c r="H190" s="2" t="s">
        <v>28</v>
      </c>
      <c r="I190" s="2" t="s">
        <v>10</v>
      </c>
      <c r="J190" s="2" t="s">
        <v>10</v>
      </c>
      <c r="K190" s="2" t="s">
        <v>10</v>
      </c>
      <c r="L190" s="2" t="s">
        <v>10</v>
      </c>
      <c r="M190" s="2" t="s">
        <v>10</v>
      </c>
    </row>
    <row r="191" spans="1:13" hidden="1" x14ac:dyDescent="0.35">
      <c r="A191" s="1">
        <v>44991.666666666664</v>
      </c>
      <c r="B191" s="1">
        <v>44991.6875</v>
      </c>
      <c r="C191">
        <v>5</v>
      </c>
      <c r="D191" t="s">
        <v>141</v>
      </c>
      <c r="E191" t="str">
        <f>VLOOKUP(flavio_2023_mar_events[[#This Row],[filter]],Filtros,2,0)</f>
        <v>Solutions</v>
      </c>
      <c r="F191" t="str" cm="1">
        <f t="array" ref="F191">IF(flavio_2023_mar_events[[#This Row],[filter]]="C",LocalizarCliente(flavio_2023_mar_events[[#This Row],[end_date]]),"--")</f>
        <v>--</v>
      </c>
      <c r="G191" s="5">
        <f>flavio_2023_mar_events[[#This Row],[calendar_owner_email]]-flavio_2023_mar_events[[#This Row],[calendar_owner_name]]</f>
        <v>2.0833333335758653E-2</v>
      </c>
      <c r="H191" s="2" t="s">
        <v>39</v>
      </c>
      <c r="I191" s="2" t="s">
        <v>10</v>
      </c>
      <c r="J191" s="2" t="s">
        <v>10</v>
      </c>
      <c r="K191" s="2" t="s">
        <v>10</v>
      </c>
      <c r="L191" s="2" t="s">
        <v>10</v>
      </c>
      <c r="M191" s="2" t="s">
        <v>10</v>
      </c>
    </row>
    <row r="192" spans="1:13" hidden="1" x14ac:dyDescent="0.35">
      <c r="A192" s="1">
        <v>44987.625</v>
      </c>
      <c r="B192" s="1">
        <v>44987.65625</v>
      </c>
      <c r="C192">
        <v>75</v>
      </c>
      <c r="D192" t="s">
        <v>134</v>
      </c>
      <c r="E192" t="str">
        <f>VLOOKUP(flavio_2023_mar_events[[#This Row],[filter]],Filtros,2,0)</f>
        <v>Open Banking</v>
      </c>
      <c r="F192" t="str" cm="1">
        <f t="array" ref="F192">IF(flavio_2023_mar_events[[#This Row],[filter]]="C",LocalizarCliente(flavio_2023_mar_events[[#This Row],[end_date]]),"--")</f>
        <v>--</v>
      </c>
      <c r="G192" s="5">
        <f>flavio_2023_mar_events[[#This Row],[calendar_owner_email]]-flavio_2023_mar_events[[#This Row],[calendar_owner_name]]</f>
        <v>3.125E-2</v>
      </c>
      <c r="H192" s="2" t="s">
        <v>23</v>
      </c>
      <c r="I192" s="2" t="s">
        <v>10</v>
      </c>
      <c r="J192" s="2" t="s">
        <v>10</v>
      </c>
      <c r="K192" s="2" t="s">
        <v>10</v>
      </c>
      <c r="L192" s="2" t="s">
        <v>10</v>
      </c>
      <c r="M192" s="2" t="s">
        <v>10</v>
      </c>
    </row>
    <row r="193" spans="1:13" hidden="1" x14ac:dyDescent="0.35">
      <c r="A193" s="1">
        <v>45015.625</v>
      </c>
      <c r="B193" s="1">
        <v>45015.75</v>
      </c>
      <c r="C193">
        <v>30</v>
      </c>
      <c r="D193" t="s">
        <v>141</v>
      </c>
      <c r="E193" t="str">
        <f>VLOOKUP(flavio_2023_mar_events[[#This Row],[filter]],Filtros,2,0)</f>
        <v>Solutions</v>
      </c>
      <c r="F193" t="str" cm="1">
        <f t="array" ref="F193">IF(flavio_2023_mar_events[[#This Row],[filter]]="C",LocalizarCliente(flavio_2023_mar_events[[#This Row],[end_date]]),"--")</f>
        <v>--</v>
      </c>
      <c r="G193" s="5">
        <f>flavio_2023_mar_events[[#This Row],[calendar_owner_email]]-flavio_2023_mar_events[[#This Row],[calendar_owner_name]]</f>
        <v>0.125</v>
      </c>
      <c r="H193" s="2" t="s">
        <v>127</v>
      </c>
      <c r="I193" s="2" t="s">
        <v>10</v>
      </c>
      <c r="J193" s="2" t="s">
        <v>10</v>
      </c>
      <c r="K193" s="2" t="s">
        <v>10</v>
      </c>
      <c r="L193" s="2" t="s">
        <v>10</v>
      </c>
      <c r="M193" s="2" t="s">
        <v>10</v>
      </c>
    </row>
    <row r="194" spans="1:13" hidden="1" x14ac:dyDescent="0.35">
      <c r="A194" s="1">
        <v>45015.354166666664</v>
      </c>
      <c r="B194" s="1">
        <v>45015.364583333336</v>
      </c>
      <c r="C194">
        <v>25</v>
      </c>
      <c r="D194">
        <v>0</v>
      </c>
      <c r="E194" t="str">
        <f>VLOOKUP(flavio_2023_mar_events[[#This Row],[filter]],Filtros,2,0)</f>
        <v>Nulo</v>
      </c>
      <c r="F194" t="str" cm="1">
        <f t="array" ref="F194">IF(flavio_2023_mar_events[[#This Row],[filter]]="C",LocalizarCliente(flavio_2023_mar_events[[#This Row],[end_date]]),"--")</f>
        <v>--</v>
      </c>
      <c r="G194" s="5">
        <f>flavio_2023_mar_events[[#This Row],[calendar_owner_email]]-flavio_2023_mar_events[[#This Row],[calendar_owner_name]]</f>
        <v>1.0416666671517305E-2</v>
      </c>
      <c r="H194" s="2" t="s">
        <v>123</v>
      </c>
      <c r="I194" s="2" t="s">
        <v>10</v>
      </c>
      <c r="J194" s="2" t="s">
        <v>10</v>
      </c>
      <c r="K194" s="2" t="s">
        <v>10</v>
      </c>
      <c r="L194" s="2" t="s">
        <v>10</v>
      </c>
      <c r="M194" s="2" t="s">
        <v>10</v>
      </c>
    </row>
    <row r="195" spans="1:13" hidden="1" x14ac:dyDescent="0.35">
      <c r="A195" s="1">
        <v>45001.645833333336</v>
      </c>
      <c r="B195" s="1">
        <v>45001.666666666664</v>
      </c>
      <c r="C195">
        <v>5</v>
      </c>
      <c r="D195" t="s">
        <v>143</v>
      </c>
      <c r="E195" t="str">
        <f>VLOOKUP(flavio_2023_mar_events[[#This Row],[filter]],Filtros,2,0)</f>
        <v>BizDevs</v>
      </c>
      <c r="F195" t="str" cm="1">
        <f t="array" ref="F195">IF(flavio_2023_mar_events[[#This Row],[filter]]="C",LocalizarCliente(flavio_2023_mar_events[[#This Row],[end_date]]),"--")</f>
        <v>--</v>
      </c>
      <c r="G195" s="5">
        <f>flavio_2023_mar_events[[#This Row],[calendar_owner_email]]-flavio_2023_mar_events[[#This Row],[calendar_owner_name]]</f>
        <v>2.0833333328482695E-2</v>
      </c>
      <c r="H195" s="2" t="s">
        <v>79</v>
      </c>
      <c r="I195" s="2" t="s">
        <v>10</v>
      </c>
      <c r="J195" s="2" t="s">
        <v>10</v>
      </c>
      <c r="K195" s="2" t="s">
        <v>10</v>
      </c>
      <c r="L195" s="2" t="s">
        <v>10</v>
      </c>
      <c r="M195" s="2" t="s">
        <v>10</v>
      </c>
    </row>
    <row r="196" spans="1:13" hidden="1" x14ac:dyDescent="0.35">
      <c r="A196" s="1">
        <v>45002.583333333336</v>
      </c>
      <c r="B196" s="1">
        <v>45002.625</v>
      </c>
      <c r="C196">
        <v>10</v>
      </c>
      <c r="D196" t="s">
        <v>199</v>
      </c>
      <c r="E196" t="str">
        <f>VLOOKUP(flavio_2023_mar_events[[#This Row],[filter]],Filtros,2,0)</f>
        <v>PDI</v>
      </c>
      <c r="F196" t="str" cm="1">
        <f t="array" ref="F196">IF(flavio_2023_mar_events[[#This Row],[filter]]="C",LocalizarCliente(flavio_2023_mar_events[[#This Row],[end_date]]),"--")</f>
        <v>--</v>
      </c>
      <c r="G196" s="5">
        <f>flavio_2023_mar_events[[#This Row],[calendar_owner_email]]-flavio_2023_mar_events[[#This Row],[calendar_owner_name]]</f>
        <v>4.1666666664241347E-2</v>
      </c>
      <c r="H196" s="2" t="s">
        <v>84</v>
      </c>
      <c r="I196" s="2" t="s">
        <v>10</v>
      </c>
      <c r="J196" s="2" t="s">
        <v>10</v>
      </c>
      <c r="K196" s="2" t="s">
        <v>10</v>
      </c>
      <c r="L196" s="2" t="s">
        <v>10</v>
      </c>
      <c r="M196" s="2" t="s">
        <v>10</v>
      </c>
    </row>
    <row r="197" spans="1:13" hidden="1" x14ac:dyDescent="0.35">
      <c r="A197" s="1">
        <v>45012.604166666664</v>
      </c>
      <c r="B197" s="1">
        <v>45012.645833333336</v>
      </c>
      <c r="C197">
        <v>10</v>
      </c>
      <c r="D197" t="s">
        <v>136</v>
      </c>
      <c r="E197" t="str">
        <f>VLOOKUP(flavio_2023_mar_events[[#This Row],[filter]],Filtros,2,0)</f>
        <v>Cliente</v>
      </c>
      <c r="F197" t="str" cm="1">
        <f t="array" ref="F197">IF(flavio_2023_mar_events[[#This Row],[filter]]="C",LocalizarCliente(flavio_2023_mar_events[[#This Row],[end_date]]),"--")</f>
        <v>Vibra + Sensedia @ Fri, Mar 17, 2023 2:00pm – 3:00pm (GMT</v>
      </c>
      <c r="G197" s="5">
        <f>flavio_2023_mar_events[[#This Row],[calendar_owner_email]]-flavio_2023_mar_events[[#This Row],[calendar_owner_name]]</f>
        <v>4.1666666671517305E-2</v>
      </c>
      <c r="H197" s="2" t="s">
        <v>112</v>
      </c>
      <c r="I197" s="2" t="s">
        <v>10</v>
      </c>
      <c r="J197" s="2" t="s">
        <v>10</v>
      </c>
      <c r="K197" s="2" t="s">
        <v>10</v>
      </c>
      <c r="L197" s="2" t="s">
        <v>10</v>
      </c>
      <c r="M197" s="2" t="s">
        <v>10</v>
      </c>
    </row>
    <row r="198" spans="1:13" hidden="1" x14ac:dyDescent="0.35">
      <c r="A198" s="1">
        <v>45007.4375</v>
      </c>
      <c r="B198" s="1">
        <v>45007.5</v>
      </c>
      <c r="C198">
        <v>15</v>
      </c>
      <c r="D198">
        <v>0</v>
      </c>
      <c r="E198" t="str">
        <f>VLOOKUP(flavio_2023_mar_events[[#This Row],[filter]],Filtros,2,0)</f>
        <v>Nulo</v>
      </c>
      <c r="F198" t="str" cm="1">
        <f t="array" ref="F198">IF(flavio_2023_mar_events[[#This Row],[filter]]="C",LocalizarCliente(flavio_2023_mar_events[[#This Row],[end_date]]),"--")</f>
        <v>--</v>
      </c>
      <c r="G198" s="5">
        <f>flavio_2023_mar_events[[#This Row],[calendar_owner_email]]-flavio_2023_mar_events[[#This Row],[calendar_owner_name]]</f>
        <v>6.25E-2</v>
      </c>
      <c r="H198" s="2" t="s">
        <v>97</v>
      </c>
      <c r="I198" s="2" t="s">
        <v>10</v>
      </c>
      <c r="J198" s="2" t="s">
        <v>10</v>
      </c>
      <c r="K198" s="2" t="s">
        <v>10</v>
      </c>
      <c r="L198" s="2" t="s">
        <v>10</v>
      </c>
      <c r="M198" s="2" t="s">
        <v>10</v>
      </c>
    </row>
    <row r="199" spans="1:13" hidden="1" x14ac:dyDescent="0.35">
      <c r="A199" s="1">
        <v>44991.625</v>
      </c>
      <c r="B199" s="1">
        <v>44991.666666666664</v>
      </c>
      <c r="C199">
        <v>10</v>
      </c>
      <c r="D199" t="s">
        <v>143</v>
      </c>
      <c r="E199" t="str">
        <f>VLOOKUP(flavio_2023_mar_events[[#This Row],[filter]],Filtros,2,0)</f>
        <v>BizDevs</v>
      </c>
      <c r="F199" t="str" cm="1">
        <f t="array" ref="F199">IF(flavio_2023_mar_events[[#This Row],[filter]]="C",LocalizarCliente(flavio_2023_mar_events[[#This Row],[end_date]]),"--")</f>
        <v>--</v>
      </c>
      <c r="G199" s="5">
        <f>flavio_2023_mar_events[[#This Row],[calendar_owner_email]]-flavio_2023_mar_events[[#This Row],[calendar_owner_name]]</f>
        <v>4.1666666664241347E-2</v>
      </c>
      <c r="H199" s="2" t="s">
        <v>37</v>
      </c>
      <c r="I199" s="2" t="s">
        <v>10</v>
      </c>
      <c r="J199" s="2" t="s">
        <v>10</v>
      </c>
      <c r="K199" s="2" t="s">
        <v>10</v>
      </c>
      <c r="L199" s="2" t="s">
        <v>10</v>
      </c>
      <c r="M199" s="2" t="s">
        <v>10</v>
      </c>
    </row>
    <row r="200" spans="1:13" hidden="1" x14ac:dyDescent="0.35">
      <c r="A200" s="1">
        <v>44998.625</v>
      </c>
      <c r="B200" s="1">
        <v>44998.666666666664</v>
      </c>
      <c r="C200">
        <v>10</v>
      </c>
      <c r="D200" t="s">
        <v>141</v>
      </c>
      <c r="E200" t="str">
        <f>VLOOKUP(flavio_2023_mar_events[[#This Row],[filter]],Filtros,2,0)</f>
        <v>Solutions</v>
      </c>
      <c r="F200" t="str" cm="1">
        <f t="array" ref="F200">IF(flavio_2023_mar_events[[#This Row],[filter]]="C",LocalizarCliente(flavio_2023_mar_events[[#This Row],[end_date]]),"--")</f>
        <v>--</v>
      </c>
      <c r="G200" s="5">
        <f>flavio_2023_mar_events[[#This Row],[calendar_owner_email]]-flavio_2023_mar_events[[#This Row],[calendar_owner_name]]</f>
        <v>4.1666666664241347E-2</v>
      </c>
      <c r="H200" s="2" t="s">
        <v>37</v>
      </c>
      <c r="I200" s="2" t="s">
        <v>10</v>
      </c>
      <c r="J200" s="2" t="s">
        <v>10</v>
      </c>
      <c r="K200" s="2" t="s">
        <v>10</v>
      </c>
      <c r="L200" s="2" t="s">
        <v>10</v>
      </c>
      <c r="M200" s="2" t="s">
        <v>10</v>
      </c>
    </row>
    <row r="201" spans="1:13" hidden="1" x14ac:dyDescent="0.35">
      <c r="A201" s="1">
        <v>45005.625</v>
      </c>
      <c r="B201" s="1">
        <v>45005.666666666664</v>
      </c>
      <c r="C201">
        <v>10</v>
      </c>
      <c r="D201" t="s">
        <v>134</v>
      </c>
      <c r="E201" t="str">
        <f>VLOOKUP(flavio_2023_mar_events[[#This Row],[filter]],Filtros,2,0)</f>
        <v>Open Banking</v>
      </c>
      <c r="F201" t="str" cm="1">
        <f t="array" ref="F201">IF(flavio_2023_mar_events[[#This Row],[filter]]="C",LocalizarCliente(flavio_2023_mar_events[[#This Row],[end_date]]),"--")</f>
        <v>--</v>
      </c>
      <c r="G201" s="5">
        <f>flavio_2023_mar_events[[#This Row],[calendar_owner_email]]-flavio_2023_mar_events[[#This Row],[calendar_owner_name]]</f>
        <v>4.1666666664241347E-2</v>
      </c>
      <c r="H201" s="2" t="s">
        <v>37</v>
      </c>
      <c r="I201" s="2" t="s">
        <v>10</v>
      </c>
      <c r="J201" s="2" t="s">
        <v>10</v>
      </c>
      <c r="K201" s="2" t="s">
        <v>10</v>
      </c>
      <c r="L201" s="2" t="s">
        <v>10</v>
      </c>
      <c r="M201" s="2" t="s">
        <v>10</v>
      </c>
    </row>
    <row r="202" spans="1:13" hidden="1" x14ac:dyDescent="0.35">
      <c r="A202" s="1">
        <v>45009.583333333336</v>
      </c>
      <c r="B202" s="1">
        <v>45009.614583333336</v>
      </c>
      <c r="C202">
        <v>75</v>
      </c>
      <c r="D202" t="s">
        <v>199</v>
      </c>
      <c r="E202" t="str">
        <f>VLOOKUP(flavio_2023_mar_events[[#This Row],[filter]],Filtros,2,0)</f>
        <v>PDI</v>
      </c>
      <c r="F202" t="str" cm="1">
        <f t="array" ref="F202">IF(flavio_2023_mar_events[[#This Row],[filter]]="C",LocalizarCliente(flavio_2023_mar_events[[#This Row],[end_date]]),"--")</f>
        <v>--</v>
      </c>
      <c r="G202" s="5">
        <f>flavio_2023_mar_events[[#This Row],[calendar_owner_email]]-flavio_2023_mar_events[[#This Row],[calendar_owner_name]]</f>
        <v>3.125E-2</v>
      </c>
      <c r="H202" s="2" t="s">
        <v>109</v>
      </c>
      <c r="I202" s="2" t="s">
        <v>10</v>
      </c>
      <c r="J202" s="2" t="s">
        <v>10</v>
      </c>
      <c r="K202" s="2" t="s">
        <v>10</v>
      </c>
      <c r="L202" s="2" t="s">
        <v>10</v>
      </c>
      <c r="M202" s="2" t="s">
        <v>10</v>
      </c>
    </row>
    <row r="203" spans="1:13" hidden="1" x14ac:dyDescent="0.35">
      <c r="A203" s="1">
        <v>44988.458333333336</v>
      </c>
      <c r="B203" s="1">
        <v>44988.5</v>
      </c>
      <c r="C203">
        <v>10</v>
      </c>
      <c r="D203" t="s">
        <v>134</v>
      </c>
      <c r="E203" t="str">
        <f>VLOOKUP(flavio_2023_mar_events[[#This Row],[filter]],Filtros,2,0)</f>
        <v>Open Banking</v>
      </c>
      <c r="F203" t="str" cm="1">
        <f t="array" ref="F203">IF(flavio_2023_mar_events[[#This Row],[filter]]="C",LocalizarCliente(flavio_2023_mar_events[[#This Row],[end_date]]),"--")</f>
        <v>--</v>
      </c>
      <c r="G203" s="5">
        <f>flavio_2023_mar_events[[#This Row],[calendar_owner_email]]-flavio_2023_mar_events[[#This Row],[calendar_owner_name]]</f>
        <v>4.1666666664241347E-2</v>
      </c>
      <c r="H203" s="2" t="s">
        <v>26</v>
      </c>
      <c r="I203" s="2" t="s">
        <v>10</v>
      </c>
      <c r="J203" s="2" t="s">
        <v>10</v>
      </c>
      <c r="K203" s="2" t="s">
        <v>10</v>
      </c>
      <c r="L203" s="2" t="s">
        <v>10</v>
      </c>
      <c r="M203" s="2" t="s">
        <v>10</v>
      </c>
    </row>
    <row r="204" spans="1:13" hidden="1" x14ac:dyDescent="0.35">
      <c r="A204" s="1">
        <v>44995.458333333336</v>
      </c>
      <c r="B204" s="1">
        <v>44995.5</v>
      </c>
      <c r="C204">
        <v>10</v>
      </c>
      <c r="D204" t="s">
        <v>136</v>
      </c>
      <c r="E204" t="str">
        <f>VLOOKUP(flavio_2023_mar_events[[#This Row],[filter]],Filtros,2,0)</f>
        <v>Cliente</v>
      </c>
      <c r="F204" t="str" cm="1">
        <f t="array" ref="F204">IF(flavio_2023_mar_events[[#This Row],[filter]]="C",LocalizarCliente(flavio_2023_mar_events[[#This Row],[end_date]]),"--")</f>
        <v>WGO International Expansion</v>
      </c>
      <c r="G204" s="5">
        <f>flavio_2023_mar_events[[#This Row],[calendar_owner_email]]-flavio_2023_mar_events[[#This Row],[calendar_owner_name]]</f>
        <v>4.1666666664241347E-2</v>
      </c>
      <c r="H204" s="2" t="s">
        <v>56</v>
      </c>
      <c r="I204" s="2" t="s">
        <v>10</v>
      </c>
      <c r="J204" s="2" t="s">
        <v>10</v>
      </c>
      <c r="K204" s="2" t="s">
        <v>10</v>
      </c>
      <c r="L204" s="2" t="s">
        <v>10</v>
      </c>
      <c r="M204" s="2" t="s">
        <v>10</v>
      </c>
    </row>
    <row r="205" spans="1:13" hidden="1" x14ac:dyDescent="0.35">
      <c r="A205" s="1">
        <v>45002.458333333336</v>
      </c>
      <c r="B205" s="1">
        <v>45002.5</v>
      </c>
      <c r="C205">
        <v>10</v>
      </c>
      <c r="D205">
        <v>0</v>
      </c>
      <c r="E205" t="str">
        <f>VLOOKUP(flavio_2023_mar_events[[#This Row],[filter]],Filtros,2,0)</f>
        <v>Nulo</v>
      </c>
      <c r="F205" t="str" cm="1">
        <f t="array" ref="F205">IF(flavio_2023_mar_events[[#This Row],[filter]]="C",LocalizarCliente(flavio_2023_mar_events[[#This Row],[end_date]]),"--")</f>
        <v>--</v>
      </c>
      <c r="G205" s="5">
        <f>flavio_2023_mar_events[[#This Row],[calendar_owner_email]]-flavio_2023_mar_events[[#This Row],[calendar_owner_name]]</f>
        <v>4.1666666664241347E-2</v>
      </c>
      <c r="H205" s="2" t="s">
        <v>82</v>
      </c>
      <c r="I205" s="2" t="s">
        <v>10</v>
      </c>
      <c r="J205" s="2" t="s">
        <v>10</v>
      </c>
      <c r="K205" s="2" t="s">
        <v>10</v>
      </c>
      <c r="L205" s="2" t="s">
        <v>10</v>
      </c>
      <c r="M205" s="2" t="s">
        <v>10</v>
      </c>
    </row>
    <row r="206" spans="1:13" hidden="1" x14ac:dyDescent="0.35">
      <c r="A206" s="1">
        <v>45016.458333333336</v>
      </c>
      <c r="B206" s="1">
        <v>45016.5</v>
      </c>
      <c r="C206">
        <v>10</v>
      </c>
      <c r="D206">
        <v>0</v>
      </c>
      <c r="E206" t="str">
        <f>VLOOKUP(flavio_2023_mar_events[[#This Row],[filter]],Filtros,2,0)</f>
        <v>Nulo</v>
      </c>
      <c r="F206" t="str" cm="1">
        <f t="array" ref="F206">IF(flavio_2023_mar_events[[#This Row],[filter]]="C",LocalizarCliente(flavio_2023_mar_events[[#This Row],[end_date]]),"--")</f>
        <v>--</v>
      </c>
      <c r="G206" s="5">
        <f>flavio_2023_mar_events[[#This Row],[calendar_owner_email]]-flavio_2023_mar_events[[#This Row],[calendar_owner_name]]</f>
        <v>4.1666666664241347E-2</v>
      </c>
      <c r="H206" s="2" t="s">
        <v>131</v>
      </c>
      <c r="I206" s="2" t="s">
        <v>10</v>
      </c>
      <c r="J206" s="2" t="s">
        <v>10</v>
      </c>
      <c r="K206" s="2" t="s">
        <v>10</v>
      </c>
      <c r="L206" s="2" t="s">
        <v>10</v>
      </c>
      <c r="M206" s="2" t="s">
        <v>10</v>
      </c>
    </row>
    <row r="207" spans="1:13" hidden="1" x14ac:dyDescent="0.35">
      <c r="A207" s="1">
        <v>44987.583333333336</v>
      </c>
      <c r="B207" s="1">
        <v>44987.625</v>
      </c>
      <c r="C207">
        <v>10</v>
      </c>
      <c r="D207" t="s">
        <v>134</v>
      </c>
      <c r="E207" t="str">
        <f>VLOOKUP(flavio_2023_mar_events[[#This Row],[filter]],Filtros,2,0)</f>
        <v>Open Banking</v>
      </c>
      <c r="F207" t="str" cm="1">
        <f t="array" ref="F207">IF(flavio_2023_mar_events[[#This Row],[filter]]="C",LocalizarCliente(flavio_2023_mar_events[[#This Row],[end_date]]),"--")</f>
        <v>--</v>
      </c>
      <c r="G207" s="5">
        <f>flavio_2023_mar_events[[#This Row],[calendar_owner_email]]-flavio_2023_mar_events[[#This Row],[calendar_owner_name]]</f>
        <v>4.1666666664241347E-2</v>
      </c>
      <c r="H207" s="2" t="s">
        <v>22</v>
      </c>
      <c r="I207" s="2" t="s">
        <v>10</v>
      </c>
      <c r="J207" s="2" t="s">
        <v>10</v>
      </c>
      <c r="K207" s="2" t="s">
        <v>10</v>
      </c>
      <c r="L207" s="2" t="s">
        <v>10</v>
      </c>
      <c r="M207" s="2" t="s">
        <v>10</v>
      </c>
    </row>
    <row r="208" spans="1:13" hidden="1" x14ac:dyDescent="0.35">
      <c r="A208" s="1">
        <v>44991.625</v>
      </c>
      <c r="B208" s="1">
        <v>44991.666666666664</v>
      </c>
      <c r="C208">
        <v>10</v>
      </c>
      <c r="D208" t="s">
        <v>143</v>
      </c>
      <c r="E208" t="str">
        <f>VLOOKUP(flavio_2023_mar_events[[#This Row],[filter]],Filtros,2,0)</f>
        <v>BizDevs</v>
      </c>
      <c r="F208" t="str" cm="1">
        <f t="array" ref="F208">IF(flavio_2023_mar_events[[#This Row],[filter]]="C",LocalizarCliente(flavio_2023_mar_events[[#This Row],[end_date]]),"--")</f>
        <v>--</v>
      </c>
      <c r="G208" s="5">
        <f>flavio_2023_mar_events[[#This Row],[calendar_owner_email]]-flavio_2023_mar_events[[#This Row],[calendar_owner_name]]</f>
        <v>4.1666666664241347E-2</v>
      </c>
      <c r="H208" s="2" t="s">
        <v>38</v>
      </c>
      <c r="I208" s="2" t="s">
        <v>10</v>
      </c>
      <c r="J208" s="2" t="s">
        <v>10</v>
      </c>
      <c r="K208" s="2" t="s">
        <v>10</v>
      </c>
      <c r="L208" s="2" t="s">
        <v>10</v>
      </c>
      <c r="M208" s="2" t="s">
        <v>10</v>
      </c>
    </row>
    <row r="209" spans="1:13" hidden="1" x14ac:dyDescent="0.35">
      <c r="A209" s="1">
        <v>44992.625</v>
      </c>
      <c r="B209" s="1">
        <v>44992.666666666664</v>
      </c>
      <c r="C209">
        <v>10</v>
      </c>
      <c r="D209" t="s">
        <v>143</v>
      </c>
      <c r="E209" t="str">
        <f>VLOOKUP(flavio_2023_mar_events[[#This Row],[filter]],Filtros,2,0)</f>
        <v>BizDevs</v>
      </c>
      <c r="F209" t="str" cm="1">
        <f t="array" ref="F209">IF(flavio_2023_mar_events[[#This Row],[filter]]="C",LocalizarCliente(flavio_2023_mar_events[[#This Row],[end_date]]),"--")</f>
        <v>--</v>
      </c>
      <c r="G209" s="5">
        <f>flavio_2023_mar_events[[#This Row],[calendar_owner_email]]-flavio_2023_mar_events[[#This Row],[calendar_owner_name]]</f>
        <v>4.1666666664241347E-2</v>
      </c>
      <c r="H209" s="2" t="s">
        <v>45</v>
      </c>
      <c r="I209" s="2" t="s">
        <v>10</v>
      </c>
      <c r="J209" s="2" t="s">
        <v>10</v>
      </c>
      <c r="K209" s="2" t="s">
        <v>10</v>
      </c>
      <c r="L209" s="2" t="s">
        <v>10</v>
      </c>
      <c r="M209" s="2" t="s">
        <v>10</v>
      </c>
    </row>
    <row r="210" spans="1:13" hidden="1" x14ac:dyDescent="0.35">
      <c r="A210" s="1">
        <v>44993.625</v>
      </c>
      <c r="B210" s="1">
        <v>44993.666666666664</v>
      </c>
      <c r="C210">
        <v>10</v>
      </c>
      <c r="D210" t="s">
        <v>136</v>
      </c>
      <c r="E210" t="str">
        <f>VLOOKUP(flavio_2023_mar_events[[#This Row],[filter]],Filtros,2,0)</f>
        <v>Cliente</v>
      </c>
      <c r="F210" t="str" cm="1">
        <f t="array" ref="F210">IF(flavio_2023_mar_events[[#This Row],[filter]]="C",LocalizarCliente(flavio_2023_mar_events[[#This Row],[end_date]]),"--")</f>
        <v>📍Plural Week 2023</v>
      </c>
      <c r="G210" s="5">
        <f>flavio_2023_mar_events[[#This Row],[calendar_owner_email]]-flavio_2023_mar_events[[#This Row],[calendar_owner_name]]</f>
        <v>4.1666666664241347E-2</v>
      </c>
      <c r="H210" s="2" t="s">
        <v>47</v>
      </c>
      <c r="I210" s="2" t="s">
        <v>10</v>
      </c>
      <c r="J210" s="2" t="s">
        <v>10</v>
      </c>
      <c r="K210" s="2" t="s">
        <v>10</v>
      </c>
      <c r="L210" s="2" t="s">
        <v>10</v>
      </c>
      <c r="M210" s="2" t="s">
        <v>10</v>
      </c>
    </row>
    <row r="211" spans="1:13" hidden="1" x14ac:dyDescent="0.35">
      <c r="A211" s="1">
        <v>44994.625</v>
      </c>
      <c r="B211" s="1">
        <v>44994.666666666664</v>
      </c>
      <c r="C211">
        <v>10</v>
      </c>
      <c r="D211" t="s">
        <v>136</v>
      </c>
      <c r="E211" t="str">
        <f>VLOOKUP(flavio_2023_mar_events[[#This Row],[filter]],Filtros,2,0)</f>
        <v>Cliente</v>
      </c>
      <c r="F211" t="str" cm="1">
        <f t="array" ref="F211">IF(flavio_2023_mar_events[[#This Row],[filter]]="C",LocalizarCliente(flavio_2023_mar_events[[#This Row],[end_date]]),"--")</f>
        <v>📍Plural Week 2023</v>
      </c>
      <c r="G211" s="5">
        <f>flavio_2023_mar_events[[#This Row],[calendar_owner_email]]-flavio_2023_mar_events[[#This Row],[calendar_owner_name]]</f>
        <v>4.1666666664241347E-2</v>
      </c>
      <c r="H211" s="2" t="s">
        <v>53</v>
      </c>
      <c r="I211" s="2" t="s">
        <v>10</v>
      </c>
      <c r="J211" s="2" t="s">
        <v>10</v>
      </c>
      <c r="K211" s="2" t="s">
        <v>10</v>
      </c>
      <c r="L211" s="2" t="s">
        <v>10</v>
      </c>
      <c r="M211" s="2" t="s">
        <v>10</v>
      </c>
    </row>
    <row r="212" spans="1:13" hidden="1" x14ac:dyDescent="0.35">
      <c r="A212" s="1">
        <v>44995.625</v>
      </c>
      <c r="B212" s="1">
        <v>44995.666666666664</v>
      </c>
      <c r="C212">
        <v>10</v>
      </c>
      <c r="D212" t="s">
        <v>136</v>
      </c>
      <c r="E212" t="str">
        <f>VLOOKUP(flavio_2023_mar_events[[#This Row],[filter]],Filtros,2,0)</f>
        <v>Cliente</v>
      </c>
      <c r="F212" t="str" cm="1">
        <f t="array" ref="F212">IF(flavio_2023_mar_events[[#This Row],[filter]]="C",LocalizarCliente(flavio_2023_mar_events[[#This Row],[end_date]]),"--")</f>
        <v>📍Plural Week 2023</v>
      </c>
      <c r="G212" s="5">
        <f>flavio_2023_mar_events[[#This Row],[calendar_owner_email]]-flavio_2023_mar_events[[#This Row],[calendar_owner_name]]</f>
        <v>4.1666666664241347E-2</v>
      </c>
      <c r="H212" s="2" t="s">
        <v>59</v>
      </c>
      <c r="I212" s="2" t="s">
        <v>10</v>
      </c>
      <c r="J212" s="2" t="s">
        <v>10</v>
      </c>
      <c r="K212" s="2" t="s">
        <v>10</v>
      </c>
      <c r="L212" s="2" t="s">
        <v>10</v>
      </c>
      <c r="M212" s="2" t="s">
        <v>10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2E3BE-DD2D-4D2A-9D96-10BB81ADAFA7}">
  <sheetPr codeName="Planilha4"/>
  <dimension ref="A1:B90"/>
  <sheetViews>
    <sheetView tabSelected="1" workbookViewId="0">
      <selection activeCell="A22" sqref="A22"/>
    </sheetView>
  </sheetViews>
  <sheetFormatPr defaultRowHeight="14.5" x14ac:dyDescent="0.35"/>
  <cols>
    <col min="1" max="1" width="86.81640625" bestFit="1" customWidth="1"/>
    <col min="2" max="2" width="14.26953125" bestFit="1" customWidth="1"/>
    <col min="3" max="3" width="32.6328125" bestFit="1" customWidth="1"/>
    <col min="4" max="4" width="47.6328125" bestFit="1" customWidth="1"/>
    <col min="5" max="5" width="23.453125" bestFit="1" customWidth="1"/>
    <col min="6" max="6" width="64.36328125" bestFit="1" customWidth="1"/>
    <col min="7" max="7" width="23.453125" bestFit="1" customWidth="1"/>
    <col min="8" max="8" width="16.453125" bestFit="1" customWidth="1"/>
    <col min="9" max="9" width="34.1796875" bestFit="1" customWidth="1"/>
    <col min="10" max="10" width="27.7265625" bestFit="1" customWidth="1"/>
    <col min="11" max="11" width="48.26953125" bestFit="1" customWidth="1"/>
    <col min="12" max="12" width="36.54296875" bestFit="1" customWidth="1"/>
    <col min="13" max="13" width="26.54296875" bestFit="1" customWidth="1"/>
    <col min="14" max="14" width="30.6328125" bestFit="1" customWidth="1"/>
    <col min="15" max="15" width="31.90625" bestFit="1" customWidth="1"/>
    <col min="16" max="16" width="23.36328125" bestFit="1" customWidth="1"/>
    <col min="17" max="17" width="36.54296875" bestFit="1" customWidth="1"/>
    <col min="18" max="18" width="29.54296875" bestFit="1" customWidth="1"/>
    <col min="19" max="19" width="38.36328125" bestFit="1" customWidth="1"/>
    <col min="20" max="20" width="34.81640625" bestFit="1" customWidth="1"/>
    <col min="21" max="21" width="24.81640625" bestFit="1" customWidth="1"/>
    <col min="22" max="22" width="31.1796875" bestFit="1" customWidth="1"/>
    <col min="23" max="23" width="19.08984375" bestFit="1" customWidth="1"/>
    <col min="24" max="24" width="40.453125" bestFit="1" customWidth="1"/>
    <col min="25" max="25" width="67.36328125" bestFit="1" customWidth="1"/>
    <col min="26" max="26" width="31.453125" bestFit="1" customWidth="1"/>
    <col min="27" max="27" width="20.6328125" bestFit="1" customWidth="1"/>
    <col min="28" max="28" width="28.81640625" bestFit="1" customWidth="1"/>
    <col min="29" max="29" width="37.54296875" bestFit="1" customWidth="1"/>
    <col min="30" max="30" width="13.7265625" bestFit="1" customWidth="1"/>
    <col min="31" max="31" width="23.7265625" bestFit="1" customWidth="1"/>
    <col min="32" max="32" width="35.26953125" bestFit="1" customWidth="1"/>
    <col min="33" max="33" width="31.1796875" bestFit="1" customWidth="1"/>
    <col min="34" max="34" width="27.26953125" bestFit="1" customWidth="1"/>
    <col min="35" max="35" width="19.7265625" bestFit="1" customWidth="1"/>
    <col min="36" max="36" width="83.453125" bestFit="1" customWidth="1"/>
    <col min="37" max="37" width="16" bestFit="1" customWidth="1"/>
    <col min="38" max="38" width="20.7265625" bestFit="1" customWidth="1"/>
    <col min="39" max="39" width="16.6328125" bestFit="1" customWidth="1"/>
    <col min="40" max="40" width="7.90625" bestFit="1" customWidth="1"/>
    <col min="41" max="41" width="37.26953125" bestFit="1" customWidth="1"/>
    <col min="42" max="42" width="61" bestFit="1" customWidth="1"/>
    <col min="43" max="43" width="12.6328125" bestFit="1" customWidth="1"/>
    <col min="44" max="44" width="18.54296875" bestFit="1" customWidth="1"/>
    <col min="45" max="45" width="26.08984375" bestFit="1" customWidth="1"/>
    <col min="46" max="46" width="24.90625" bestFit="1" customWidth="1"/>
    <col min="47" max="47" width="36.08984375" bestFit="1" customWidth="1"/>
    <col min="48" max="48" width="12.6328125" bestFit="1" customWidth="1"/>
    <col min="49" max="49" width="58.26953125" bestFit="1" customWidth="1"/>
    <col min="50" max="50" width="36.81640625" bestFit="1" customWidth="1"/>
    <col min="51" max="51" width="60" bestFit="1" customWidth="1"/>
    <col min="52" max="52" width="59.26953125" bestFit="1" customWidth="1"/>
    <col min="53" max="53" width="25.6328125" bestFit="1" customWidth="1"/>
    <col min="54" max="55" width="30.08984375" bestFit="1" customWidth="1"/>
    <col min="56" max="56" width="29.26953125" bestFit="1" customWidth="1"/>
    <col min="57" max="57" width="24.36328125" bestFit="1" customWidth="1"/>
    <col min="58" max="58" width="21.1796875" bestFit="1" customWidth="1"/>
    <col min="59" max="59" width="49" bestFit="1" customWidth="1"/>
    <col min="60" max="60" width="37.08984375" bestFit="1" customWidth="1"/>
    <col min="61" max="61" width="31.1796875" bestFit="1" customWidth="1"/>
    <col min="62" max="62" width="28.26953125" bestFit="1" customWidth="1"/>
    <col min="63" max="63" width="33.6328125" bestFit="1" customWidth="1"/>
    <col min="64" max="64" width="41.90625" bestFit="1" customWidth="1"/>
    <col min="65" max="65" width="43.26953125" bestFit="1" customWidth="1"/>
    <col min="66" max="66" width="30.7265625" bestFit="1" customWidth="1"/>
    <col min="67" max="67" width="16.26953125" bestFit="1" customWidth="1"/>
    <col min="68" max="68" width="36.81640625" bestFit="1" customWidth="1"/>
    <col min="69" max="69" width="33.453125" bestFit="1" customWidth="1"/>
    <col min="70" max="70" width="53.26953125" bestFit="1" customWidth="1"/>
    <col min="71" max="71" width="17.90625" bestFit="1" customWidth="1"/>
    <col min="72" max="72" width="28.7265625" bestFit="1" customWidth="1"/>
    <col min="73" max="73" width="22.54296875" bestFit="1" customWidth="1"/>
    <col min="74" max="74" width="26" bestFit="1" customWidth="1"/>
    <col min="75" max="75" width="40.453125" bestFit="1" customWidth="1"/>
    <col min="76" max="76" width="15.36328125" bestFit="1" customWidth="1"/>
    <col min="77" max="77" width="29.81640625" bestFit="1" customWidth="1"/>
    <col min="78" max="78" width="19.1796875" bestFit="1" customWidth="1"/>
    <col min="79" max="79" width="57.6328125" bestFit="1" customWidth="1"/>
    <col min="80" max="80" width="42.90625" bestFit="1" customWidth="1"/>
    <col min="81" max="81" width="23.08984375" bestFit="1" customWidth="1"/>
    <col min="82" max="82" width="16.1796875" bestFit="1" customWidth="1"/>
    <col min="83" max="83" width="21.81640625" bestFit="1" customWidth="1"/>
    <col min="84" max="84" width="20.453125" bestFit="1" customWidth="1"/>
    <col min="85" max="85" width="34.54296875" bestFit="1" customWidth="1"/>
    <col min="86" max="86" width="23.36328125" bestFit="1" customWidth="1"/>
    <col min="87" max="87" width="16.36328125" bestFit="1" customWidth="1"/>
    <col min="88" max="88" width="42.7265625" bestFit="1" customWidth="1"/>
    <col min="89" max="89" width="27.453125" bestFit="1" customWidth="1"/>
    <col min="90" max="90" width="62.7265625" bestFit="1" customWidth="1"/>
    <col min="91" max="91" width="28.81640625" bestFit="1" customWidth="1"/>
    <col min="92" max="92" width="20" bestFit="1" customWidth="1"/>
    <col min="93" max="93" width="48.1796875" bestFit="1" customWidth="1"/>
    <col min="94" max="94" width="20.453125" bestFit="1" customWidth="1"/>
    <col min="95" max="95" width="26.08984375" bestFit="1" customWidth="1"/>
    <col min="96" max="96" width="19.26953125" bestFit="1" customWidth="1"/>
    <col min="97" max="97" width="19.7265625" bestFit="1" customWidth="1"/>
    <col min="98" max="98" width="10" bestFit="1" customWidth="1"/>
  </cols>
  <sheetData>
    <row r="1" spans="1:2" x14ac:dyDescent="0.35">
      <c r="A1" s="6" t="s">
        <v>201</v>
      </c>
      <c r="B1" t="s">
        <v>165</v>
      </c>
    </row>
    <row r="3" spans="1:2" x14ac:dyDescent="0.35">
      <c r="A3" s="6" t="s">
        <v>229</v>
      </c>
      <c r="B3" t="s">
        <v>230</v>
      </c>
    </row>
    <row r="4" spans="1:2" x14ac:dyDescent="0.35">
      <c r="A4" s="7" t="s">
        <v>208</v>
      </c>
      <c r="B4" s="5">
        <v>0.16666666666666666</v>
      </c>
    </row>
    <row r="5" spans="1:2" x14ac:dyDescent="0.35">
      <c r="A5" s="8" t="s">
        <v>151</v>
      </c>
      <c r="B5" s="5">
        <v>4.1666666666666664E-2</v>
      </c>
    </row>
    <row r="6" spans="1:2" x14ac:dyDescent="0.35">
      <c r="A6" s="8" t="s">
        <v>152</v>
      </c>
      <c r="B6" s="5">
        <v>2.0833333333333332E-2</v>
      </c>
    </row>
    <row r="7" spans="1:2" x14ac:dyDescent="0.35">
      <c r="A7" s="8" t="s">
        <v>153</v>
      </c>
      <c r="B7" s="5">
        <v>2.0833333333333332E-2</v>
      </c>
    </row>
    <row r="8" spans="1:2" x14ac:dyDescent="0.35">
      <c r="A8" s="8" t="s">
        <v>162</v>
      </c>
      <c r="B8" s="5">
        <v>4.1666666666666664E-2</v>
      </c>
    </row>
    <row r="9" spans="1:2" x14ac:dyDescent="0.35">
      <c r="A9" s="8" t="s">
        <v>178</v>
      </c>
      <c r="B9" s="5">
        <v>4.1666666666666664E-2</v>
      </c>
    </row>
    <row r="10" spans="1:2" x14ac:dyDescent="0.35">
      <c r="A10" s="7" t="s">
        <v>209</v>
      </c>
      <c r="B10" s="5">
        <v>4.1666666666666664E-2</v>
      </c>
    </row>
    <row r="11" spans="1:2" x14ac:dyDescent="0.35">
      <c r="A11" s="8" t="s">
        <v>196</v>
      </c>
      <c r="B11" s="5">
        <v>4.1666666666666664E-2</v>
      </c>
    </row>
    <row r="12" spans="1:2" x14ac:dyDescent="0.35">
      <c r="A12" s="7" t="s">
        <v>210</v>
      </c>
      <c r="B12" s="5">
        <v>7.6388888888888895E-2</v>
      </c>
    </row>
    <row r="13" spans="1:2" x14ac:dyDescent="0.35">
      <c r="A13" s="8" t="s">
        <v>183</v>
      </c>
      <c r="B13" s="5">
        <v>3.4722222222222224E-2</v>
      </c>
    </row>
    <row r="14" spans="1:2" x14ac:dyDescent="0.35">
      <c r="A14" s="8" t="s">
        <v>25</v>
      </c>
      <c r="B14" s="5">
        <v>4.1666666666666664E-2</v>
      </c>
    </row>
    <row r="15" spans="1:2" x14ac:dyDescent="0.35">
      <c r="A15" s="7" t="s">
        <v>211</v>
      </c>
      <c r="B15" s="5">
        <v>1.0416666666666666E-2</v>
      </c>
    </row>
    <row r="16" spans="1:2" x14ac:dyDescent="0.35">
      <c r="A16" s="8" t="s">
        <v>172</v>
      </c>
      <c r="B16" s="5">
        <v>1.0416666666666666E-2</v>
      </c>
    </row>
    <row r="17" spans="1:2" x14ac:dyDescent="0.35">
      <c r="A17" s="7" t="s">
        <v>212</v>
      </c>
      <c r="B17" s="5">
        <v>4.1666666666666664E-2</v>
      </c>
    </row>
    <row r="18" spans="1:2" x14ac:dyDescent="0.35">
      <c r="A18" s="8" t="s">
        <v>186</v>
      </c>
      <c r="B18" s="5">
        <v>4.1666666666666664E-2</v>
      </c>
    </row>
    <row r="19" spans="1:2" x14ac:dyDescent="0.35">
      <c r="A19" s="7" t="s">
        <v>213</v>
      </c>
      <c r="B19" s="5">
        <v>6.25E-2</v>
      </c>
    </row>
    <row r="20" spans="1:2" x14ac:dyDescent="0.35">
      <c r="A20" s="8" t="s">
        <v>185</v>
      </c>
      <c r="B20" s="5">
        <v>6.25E-2</v>
      </c>
    </row>
    <row r="21" spans="1:2" x14ac:dyDescent="0.35">
      <c r="A21" s="7" t="s">
        <v>214</v>
      </c>
      <c r="B21" s="5">
        <v>0.14583333333333331</v>
      </c>
    </row>
    <row r="22" spans="1:2" x14ac:dyDescent="0.35">
      <c r="A22" s="8" t="s">
        <v>231</v>
      </c>
      <c r="B22" s="5">
        <v>2.0833333333333332E-2</v>
      </c>
    </row>
    <row r="23" spans="1:2" x14ac:dyDescent="0.35">
      <c r="A23" s="8" t="s">
        <v>187</v>
      </c>
      <c r="B23" s="5">
        <v>8.3333333333333329E-2</v>
      </c>
    </row>
    <row r="24" spans="1:2" x14ac:dyDescent="0.35">
      <c r="A24" s="8" t="s">
        <v>232</v>
      </c>
      <c r="B24" s="5">
        <v>4.1666666666666664E-2</v>
      </c>
    </row>
    <row r="25" spans="1:2" x14ac:dyDescent="0.35">
      <c r="A25" s="7" t="s">
        <v>215</v>
      </c>
      <c r="B25" s="5">
        <v>4.1666666666666664E-2</v>
      </c>
    </row>
    <row r="26" spans="1:2" x14ac:dyDescent="0.35">
      <c r="A26" s="8" t="s">
        <v>203</v>
      </c>
      <c r="B26" s="5">
        <v>4.1666666666666664E-2</v>
      </c>
    </row>
    <row r="27" spans="1:2" x14ac:dyDescent="0.35">
      <c r="A27" s="7" t="s">
        <v>216</v>
      </c>
      <c r="B27" s="5">
        <v>3.4722222222222224E-2</v>
      </c>
    </row>
    <row r="28" spans="1:2" x14ac:dyDescent="0.35">
      <c r="A28" s="8" t="s">
        <v>157</v>
      </c>
      <c r="B28" s="5">
        <v>3.4722222222222224E-2</v>
      </c>
    </row>
    <row r="29" spans="1:2" x14ac:dyDescent="0.35">
      <c r="A29" s="7" t="s">
        <v>145</v>
      </c>
      <c r="B29" s="5">
        <v>8.3333333333333329E-2</v>
      </c>
    </row>
    <row r="30" spans="1:2" x14ac:dyDescent="0.35">
      <c r="A30" s="8" t="s">
        <v>173</v>
      </c>
      <c r="B30" s="5">
        <v>4.1666666666666664E-2</v>
      </c>
    </row>
    <row r="31" spans="1:2" x14ac:dyDescent="0.35">
      <c r="A31" s="8" t="s">
        <v>205</v>
      </c>
      <c r="B31" s="5">
        <v>4.1666666666666664E-2</v>
      </c>
    </row>
    <row r="32" spans="1:2" x14ac:dyDescent="0.35">
      <c r="A32" s="7" t="s">
        <v>78</v>
      </c>
      <c r="B32" s="5">
        <v>4.1666666666666664E-2</v>
      </c>
    </row>
    <row r="33" spans="1:2" x14ac:dyDescent="0.35">
      <c r="A33" s="8" t="s">
        <v>78</v>
      </c>
      <c r="B33" s="5">
        <v>4.1666666666666664E-2</v>
      </c>
    </row>
    <row r="34" spans="1:2" x14ac:dyDescent="0.35">
      <c r="A34" s="7" t="s">
        <v>146</v>
      </c>
      <c r="B34" s="5">
        <v>8.3333333333333329E-2</v>
      </c>
    </row>
    <row r="35" spans="1:2" x14ac:dyDescent="0.35">
      <c r="A35" s="8" t="s">
        <v>174</v>
      </c>
      <c r="B35" s="5">
        <v>4.1666666666666664E-2</v>
      </c>
    </row>
    <row r="36" spans="1:2" x14ac:dyDescent="0.35">
      <c r="A36" s="8" t="s">
        <v>161</v>
      </c>
      <c r="B36" s="5">
        <v>4.1666666666666664E-2</v>
      </c>
    </row>
    <row r="37" spans="1:2" x14ac:dyDescent="0.35">
      <c r="A37" s="7" t="s">
        <v>217</v>
      </c>
      <c r="B37" s="5">
        <v>4.1666666666666664E-2</v>
      </c>
    </row>
    <row r="38" spans="1:2" x14ac:dyDescent="0.35">
      <c r="A38" s="8" t="s">
        <v>159</v>
      </c>
      <c r="B38" s="5">
        <v>4.1666666666666664E-2</v>
      </c>
    </row>
    <row r="39" spans="1:2" x14ac:dyDescent="0.35">
      <c r="A39" s="7" t="s">
        <v>218</v>
      </c>
      <c r="B39" s="5">
        <v>4.1666666666666664E-2</v>
      </c>
    </row>
    <row r="40" spans="1:2" x14ac:dyDescent="0.35">
      <c r="A40" s="8" t="s">
        <v>158</v>
      </c>
      <c r="B40" s="5">
        <v>4.1666666666666664E-2</v>
      </c>
    </row>
    <row r="41" spans="1:2" x14ac:dyDescent="0.35">
      <c r="A41" s="7" t="s">
        <v>122</v>
      </c>
      <c r="B41" s="5">
        <v>0.27777777777777773</v>
      </c>
    </row>
    <row r="42" spans="1:2" x14ac:dyDescent="0.35">
      <c r="A42" s="8" t="s">
        <v>164</v>
      </c>
      <c r="B42" s="5">
        <v>2.0833333333333332E-2</v>
      </c>
    </row>
    <row r="43" spans="1:2" x14ac:dyDescent="0.35">
      <c r="A43" s="8" t="s">
        <v>154</v>
      </c>
      <c r="B43" s="5">
        <v>6.9444444444444441E-3</v>
      </c>
    </row>
    <row r="44" spans="1:2" x14ac:dyDescent="0.35">
      <c r="A44" s="8" t="s">
        <v>206</v>
      </c>
      <c r="B44" s="5">
        <v>8.3333333333333329E-2</v>
      </c>
    </row>
    <row r="45" spans="1:2" x14ac:dyDescent="0.35">
      <c r="A45" s="8" t="s">
        <v>122</v>
      </c>
      <c r="B45" s="5">
        <v>3.125E-2</v>
      </c>
    </row>
    <row r="46" spans="1:2" x14ac:dyDescent="0.35">
      <c r="A46" s="8" t="s">
        <v>126</v>
      </c>
      <c r="B46" s="5">
        <v>4.1666666666666664E-2</v>
      </c>
    </row>
    <row r="47" spans="1:2" x14ac:dyDescent="0.35">
      <c r="A47" s="8" t="s">
        <v>138</v>
      </c>
      <c r="B47" s="5">
        <v>4.1666666666666664E-2</v>
      </c>
    </row>
    <row r="48" spans="1:2" x14ac:dyDescent="0.35">
      <c r="A48" s="8" t="s">
        <v>139</v>
      </c>
      <c r="B48" s="5">
        <v>3.125E-2</v>
      </c>
    </row>
    <row r="49" spans="1:2" x14ac:dyDescent="0.35">
      <c r="A49" s="8" t="s">
        <v>140</v>
      </c>
      <c r="B49" s="5">
        <v>2.0833333333333332E-2</v>
      </c>
    </row>
    <row r="50" spans="1:2" x14ac:dyDescent="0.35">
      <c r="A50" s="7" t="s">
        <v>219</v>
      </c>
      <c r="B50" s="5">
        <v>4.1666666666666664E-2</v>
      </c>
    </row>
    <row r="51" spans="1:2" x14ac:dyDescent="0.35">
      <c r="A51" s="8" t="s">
        <v>184</v>
      </c>
      <c r="B51" s="5">
        <v>4.1666666666666664E-2</v>
      </c>
    </row>
    <row r="52" spans="1:2" x14ac:dyDescent="0.35">
      <c r="A52" s="7" t="s">
        <v>147</v>
      </c>
      <c r="B52" s="5">
        <v>3.125E-2</v>
      </c>
    </row>
    <row r="53" spans="1:2" x14ac:dyDescent="0.35">
      <c r="A53" s="8" t="s">
        <v>175</v>
      </c>
      <c r="B53" s="5">
        <v>3.125E-2</v>
      </c>
    </row>
    <row r="54" spans="1:2" x14ac:dyDescent="0.35">
      <c r="A54" s="7" t="s">
        <v>220</v>
      </c>
      <c r="B54" s="5">
        <v>6.25E-2</v>
      </c>
    </row>
    <row r="55" spans="1:2" x14ac:dyDescent="0.35">
      <c r="A55" s="8" t="s">
        <v>176</v>
      </c>
      <c r="B55" s="5">
        <v>6.25E-2</v>
      </c>
    </row>
    <row r="56" spans="1:2" x14ac:dyDescent="0.35">
      <c r="A56" s="7" t="s">
        <v>221</v>
      </c>
      <c r="B56" s="5">
        <v>4.1666666666666664E-2</v>
      </c>
    </row>
    <row r="57" spans="1:2" x14ac:dyDescent="0.35">
      <c r="A57" s="8" t="s">
        <v>163</v>
      </c>
      <c r="B57" s="5">
        <v>4.1666666666666664E-2</v>
      </c>
    </row>
    <row r="58" spans="1:2" x14ac:dyDescent="0.35">
      <c r="A58" s="7" t="s">
        <v>222</v>
      </c>
      <c r="B58" s="5">
        <v>4.1666666666666664E-2</v>
      </c>
    </row>
    <row r="59" spans="1:2" x14ac:dyDescent="0.35">
      <c r="A59" s="8" t="s">
        <v>177</v>
      </c>
      <c r="B59" s="5">
        <v>4.1666666666666664E-2</v>
      </c>
    </row>
    <row r="60" spans="1:2" x14ac:dyDescent="0.35">
      <c r="A60" s="7" t="s">
        <v>223</v>
      </c>
      <c r="B60" s="5">
        <v>2.0833333333333332E-2</v>
      </c>
    </row>
    <row r="61" spans="1:2" x14ac:dyDescent="0.35">
      <c r="A61" s="8" t="s">
        <v>150</v>
      </c>
      <c r="B61" s="5">
        <v>2.0833333333333332E-2</v>
      </c>
    </row>
    <row r="62" spans="1:2" x14ac:dyDescent="0.35">
      <c r="A62" s="7" t="s">
        <v>148</v>
      </c>
      <c r="B62" s="5">
        <v>0.22916666666666666</v>
      </c>
    </row>
    <row r="63" spans="1:2" x14ac:dyDescent="0.35">
      <c r="A63" s="8" t="s">
        <v>155</v>
      </c>
      <c r="B63" s="5">
        <v>4.1666666666666664E-2</v>
      </c>
    </row>
    <row r="64" spans="1:2" x14ac:dyDescent="0.35">
      <c r="A64" s="8" t="s">
        <v>149</v>
      </c>
      <c r="B64" s="5">
        <v>2.0833333333333332E-2</v>
      </c>
    </row>
    <row r="65" spans="1:2" x14ac:dyDescent="0.35">
      <c r="A65" s="8" t="s">
        <v>62</v>
      </c>
      <c r="B65" s="5">
        <v>2.0833333333333332E-2</v>
      </c>
    </row>
    <row r="66" spans="1:2" x14ac:dyDescent="0.35">
      <c r="A66" s="8" t="s">
        <v>156</v>
      </c>
      <c r="B66" s="5">
        <v>4.1666666666666664E-2</v>
      </c>
    </row>
    <row r="67" spans="1:2" x14ac:dyDescent="0.35">
      <c r="A67" s="8" t="s">
        <v>192</v>
      </c>
      <c r="B67" s="5">
        <v>6.25E-2</v>
      </c>
    </row>
    <row r="68" spans="1:2" x14ac:dyDescent="0.35">
      <c r="A68" s="8" t="s">
        <v>195</v>
      </c>
      <c r="B68" s="5">
        <v>4.1666666666666664E-2</v>
      </c>
    </row>
    <row r="69" spans="1:2" x14ac:dyDescent="0.35">
      <c r="A69" s="7" t="s">
        <v>224</v>
      </c>
      <c r="B69" s="5">
        <v>0.19097222222222221</v>
      </c>
    </row>
    <row r="70" spans="1:2" x14ac:dyDescent="0.35">
      <c r="A70" s="8" t="s">
        <v>39</v>
      </c>
      <c r="B70" s="5">
        <v>2.0833333333333332E-2</v>
      </c>
    </row>
    <row r="71" spans="1:2" x14ac:dyDescent="0.35">
      <c r="A71" s="8" t="s">
        <v>23</v>
      </c>
      <c r="B71" s="5">
        <v>3.125E-2</v>
      </c>
    </row>
    <row r="72" spans="1:2" x14ac:dyDescent="0.35">
      <c r="A72" s="8" t="s">
        <v>181</v>
      </c>
      <c r="B72" s="5">
        <v>4.1666666666666664E-2</v>
      </c>
    </row>
    <row r="73" spans="1:2" x14ac:dyDescent="0.35">
      <c r="A73" s="8" t="s">
        <v>137</v>
      </c>
      <c r="B73" s="5">
        <v>2.0833333333333332E-2</v>
      </c>
    </row>
    <row r="74" spans="1:2" x14ac:dyDescent="0.35">
      <c r="A74" s="8" t="s">
        <v>193</v>
      </c>
      <c r="B74" s="5">
        <v>4.1666666666666664E-2</v>
      </c>
    </row>
    <row r="75" spans="1:2" x14ac:dyDescent="0.35">
      <c r="A75" s="8" t="s">
        <v>180</v>
      </c>
      <c r="B75" s="5">
        <v>3.4722222222222224E-2</v>
      </c>
    </row>
    <row r="76" spans="1:2" x14ac:dyDescent="0.35">
      <c r="A76" s="7" t="s">
        <v>225</v>
      </c>
      <c r="B76" s="5">
        <v>0.37500000000000006</v>
      </c>
    </row>
    <row r="77" spans="1:2" x14ac:dyDescent="0.35">
      <c r="A77" s="8" t="s">
        <v>179</v>
      </c>
      <c r="B77" s="5">
        <v>6.25E-2</v>
      </c>
    </row>
    <row r="78" spans="1:2" x14ac:dyDescent="0.35">
      <c r="A78" s="8" t="s">
        <v>160</v>
      </c>
      <c r="B78" s="5">
        <v>8.3333333333333329E-2</v>
      </c>
    </row>
    <row r="79" spans="1:2" x14ac:dyDescent="0.35">
      <c r="A79" s="8" t="s">
        <v>182</v>
      </c>
      <c r="B79" s="5">
        <v>2.0833333333333332E-2</v>
      </c>
    </row>
    <row r="80" spans="1:2" x14ac:dyDescent="0.35">
      <c r="A80" s="8" t="s">
        <v>188</v>
      </c>
      <c r="B80" s="5">
        <v>8.3333333333333329E-2</v>
      </c>
    </row>
    <row r="81" spans="1:2" x14ac:dyDescent="0.35">
      <c r="A81" s="8" t="s">
        <v>189</v>
      </c>
      <c r="B81" s="5">
        <v>4.1666666666666664E-2</v>
      </c>
    </row>
    <row r="82" spans="1:2" x14ac:dyDescent="0.35">
      <c r="A82" s="8" t="s">
        <v>190</v>
      </c>
      <c r="B82" s="5">
        <v>4.1666666666666664E-2</v>
      </c>
    </row>
    <row r="83" spans="1:2" x14ac:dyDescent="0.35">
      <c r="A83" s="8" t="s">
        <v>191</v>
      </c>
      <c r="B83" s="5">
        <v>4.1666666666666664E-2</v>
      </c>
    </row>
    <row r="84" spans="1:2" x14ac:dyDescent="0.35">
      <c r="A84" s="7" t="s">
        <v>226</v>
      </c>
      <c r="B84" s="5">
        <v>2.0833333333333332E-2</v>
      </c>
    </row>
    <row r="85" spans="1:2" x14ac:dyDescent="0.35">
      <c r="A85" s="8" t="s">
        <v>204</v>
      </c>
      <c r="B85" s="5">
        <v>2.0833333333333332E-2</v>
      </c>
    </row>
    <row r="86" spans="1:2" x14ac:dyDescent="0.35">
      <c r="A86" s="7" t="s">
        <v>227</v>
      </c>
      <c r="B86" s="5">
        <v>0.11458333333333333</v>
      </c>
    </row>
    <row r="87" spans="1:2" x14ac:dyDescent="0.35">
      <c r="A87" s="8" t="s">
        <v>197</v>
      </c>
      <c r="B87" s="5">
        <v>4.1666666666666664E-2</v>
      </c>
    </row>
    <row r="88" spans="1:2" x14ac:dyDescent="0.35">
      <c r="A88" s="8" t="s">
        <v>198</v>
      </c>
      <c r="B88" s="5">
        <v>4.1666666666666664E-2</v>
      </c>
    </row>
    <row r="89" spans="1:2" x14ac:dyDescent="0.35">
      <c r="A89" s="8" t="s">
        <v>194</v>
      </c>
      <c r="B89" s="5">
        <v>3.125E-2</v>
      </c>
    </row>
    <row r="90" spans="1:2" x14ac:dyDescent="0.35">
      <c r="A90" s="7" t="s">
        <v>228</v>
      </c>
      <c r="B90" s="5">
        <v>2.3611111111111107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3BB24-5B68-49A8-920B-68284C6D3093}">
  <sheetPr codeName="Planilha5"/>
  <dimension ref="A1:B46"/>
  <sheetViews>
    <sheetView workbookViewId="0">
      <selection activeCell="B1" sqref="B1"/>
    </sheetView>
  </sheetViews>
  <sheetFormatPr defaultRowHeight="14.5" x14ac:dyDescent="0.35"/>
  <cols>
    <col min="1" max="1" width="56.81640625" bestFit="1" customWidth="1"/>
    <col min="2" max="2" width="14.26953125" bestFit="1" customWidth="1"/>
    <col min="3" max="3" width="32.6328125" bestFit="1" customWidth="1"/>
    <col min="4" max="4" width="47.6328125" bestFit="1" customWidth="1"/>
    <col min="5" max="5" width="23.453125" bestFit="1" customWidth="1"/>
    <col min="6" max="6" width="64.36328125" bestFit="1" customWidth="1"/>
    <col min="7" max="7" width="23.453125" bestFit="1" customWidth="1"/>
    <col min="8" max="8" width="16.453125" bestFit="1" customWidth="1"/>
    <col min="9" max="9" width="34.1796875" bestFit="1" customWidth="1"/>
    <col min="10" max="10" width="27.7265625" bestFit="1" customWidth="1"/>
    <col min="11" max="11" width="48.26953125" bestFit="1" customWidth="1"/>
    <col min="12" max="12" width="36.54296875" bestFit="1" customWidth="1"/>
    <col min="13" max="13" width="26.54296875" bestFit="1" customWidth="1"/>
    <col min="14" max="14" width="30.6328125" bestFit="1" customWidth="1"/>
    <col min="15" max="15" width="31.90625" bestFit="1" customWidth="1"/>
    <col min="16" max="16" width="23.36328125" bestFit="1" customWidth="1"/>
    <col min="17" max="17" width="36.54296875" bestFit="1" customWidth="1"/>
    <col min="18" max="18" width="29.54296875" bestFit="1" customWidth="1"/>
    <col min="19" max="19" width="38.36328125" bestFit="1" customWidth="1"/>
    <col min="20" max="20" width="34.81640625" bestFit="1" customWidth="1"/>
    <col min="21" max="21" width="24.81640625" bestFit="1" customWidth="1"/>
    <col min="22" max="22" width="31.1796875" bestFit="1" customWidth="1"/>
    <col min="23" max="23" width="19.08984375" bestFit="1" customWidth="1"/>
    <col min="24" max="24" width="40.453125" bestFit="1" customWidth="1"/>
    <col min="25" max="25" width="67.36328125" bestFit="1" customWidth="1"/>
    <col min="26" max="26" width="31.453125" bestFit="1" customWidth="1"/>
    <col min="27" max="27" width="20.6328125" bestFit="1" customWidth="1"/>
    <col min="28" max="28" width="28.81640625" bestFit="1" customWidth="1"/>
    <col min="29" max="29" width="37.54296875" bestFit="1" customWidth="1"/>
    <col min="30" max="30" width="13.7265625" bestFit="1" customWidth="1"/>
    <col min="31" max="31" width="23.7265625" bestFit="1" customWidth="1"/>
    <col min="32" max="32" width="35.26953125" bestFit="1" customWidth="1"/>
    <col min="33" max="33" width="31.1796875" bestFit="1" customWidth="1"/>
    <col min="34" max="34" width="27.26953125" bestFit="1" customWidth="1"/>
    <col min="35" max="35" width="19.7265625" bestFit="1" customWidth="1"/>
    <col min="36" max="36" width="83.453125" bestFit="1" customWidth="1"/>
    <col min="37" max="37" width="16" bestFit="1" customWidth="1"/>
    <col min="38" max="38" width="20.7265625" bestFit="1" customWidth="1"/>
    <col min="39" max="39" width="16.6328125" bestFit="1" customWidth="1"/>
    <col min="40" max="40" width="7.90625" bestFit="1" customWidth="1"/>
    <col min="41" max="41" width="37.26953125" bestFit="1" customWidth="1"/>
    <col min="42" max="42" width="61" bestFit="1" customWidth="1"/>
    <col min="43" max="43" width="12.6328125" bestFit="1" customWidth="1"/>
    <col min="44" max="44" width="18.54296875" bestFit="1" customWidth="1"/>
    <col min="45" max="45" width="26.08984375" bestFit="1" customWidth="1"/>
    <col min="46" max="46" width="24.90625" bestFit="1" customWidth="1"/>
    <col min="47" max="47" width="36.08984375" bestFit="1" customWidth="1"/>
    <col min="48" max="48" width="12.6328125" bestFit="1" customWidth="1"/>
    <col min="49" max="49" width="58.26953125" bestFit="1" customWidth="1"/>
    <col min="50" max="50" width="36.81640625" bestFit="1" customWidth="1"/>
    <col min="51" max="51" width="60" bestFit="1" customWidth="1"/>
    <col min="52" max="52" width="59.26953125" bestFit="1" customWidth="1"/>
    <col min="53" max="53" width="25.6328125" bestFit="1" customWidth="1"/>
    <col min="54" max="55" width="30.08984375" bestFit="1" customWidth="1"/>
    <col min="56" max="56" width="29.26953125" bestFit="1" customWidth="1"/>
    <col min="57" max="57" width="24.36328125" bestFit="1" customWidth="1"/>
    <col min="58" max="58" width="21.1796875" bestFit="1" customWidth="1"/>
    <col min="59" max="59" width="49" bestFit="1" customWidth="1"/>
    <col min="60" max="60" width="37.08984375" bestFit="1" customWidth="1"/>
    <col min="61" max="61" width="31.1796875" bestFit="1" customWidth="1"/>
    <col min="62" max="62" width="28.26953125" bestFit="1" customWidth="1"/>
    <col min="63" max="63" width="33.6328125" bestFit="1" customWidth="1"/>
    <col min="64" max="64" width="41.90625" bestFit="1" customWidth="1"/>
    <col min="65" max="65" width="43.26953125" bestFit="1" customWidth="1"/>
    <col min="66" max="66" width="30.7265625" bestFit="1" customWidth="1"/>
    <col min="67" max="67" width="16.26953125" bestFit="1" customWidth="1"/>
    <col min="68" max="68" width="36.81640625" bestFit="1" customWidth="1"/>
    <col min="69" max="69" width="33.453125" bestFit="1" customWidth="1"/>
    <col min="70" max="70" width="53.26953125" bestFit="1" customWidth="1"/>
    <col min="71" max="71" width="17.90625" bestFit="1" customWidth="1"/>
    <col min="72" max="72" width="28.7265625" bestFit="1" customWidth="1"/>
    <col min="73" max="73" width="22.54296875" bestFit="1" customWidth="1"/>
    <col min="74" max="74" width="26" bestFit="1" customWidth="1"/>
    <col min="75" max="75" width="40.453125" bestFit="1" customWidth="1"/>
    <col min="76" max="76" width="15.36328125" bestFit="1" customWidth="1"/>
    <col min="77" max="77" width="29.81640625" bestFit="1" customWidth="1"/>
    <col min="78" max="78" width="19.1796875" bestFit="1" customWidth="1"/>
    <col min="79" max="79" width="57.6328125" bestFit="1" customWidth="1"/>
    <col min="80" max="80" width="42.90625" bestFit="1" customWidth="1"/>
    <col min="81" max="81" width="23.08984375" bestFit="1" customWidth="1"/>
    <col min="82" max="82" width="16.1796875" bestFit="1" customWidth="1"/>
    <col min="83" max="83" width="21.81640625" bestFit="1" customWidth="1"/>
    <col min="84" max="84" width="20.453125" bestFit="1" customWidth="1"/>
    <col min="85" max="85" width="34.54296875" bestFit="1" customWidth="1"/>
    <col min="86" max="86" width="23.36328125" bestFit="1" customWidth="1"/>
    <col min="87" max="87" width="16.36328125" bestFit="1" customWidth="1"/>
    <col min="88" max="88" width="42.7265625" bestFit="1" customWidth="1"/>
    <col min="89" max="89" width="27.453125" bestFit="1" customWidth="1"/>
    <col min="90" max="90" width="62.7265625" bestFit="1" customWidth="1"/>
    <col min="91" max="91" width="28.81640625" bestFit="1" customWidth="1"/>
    <col min="92" max="92" width="20" bestFit="1" customWidth="1"/>
    <col min="93" max="93" width="48.1796875" bestFit="1" customWidth="1"/>
    <col min="94" max="94" width="20.453125" bestFit="1" customWidth="1"/>
    <col min="95" max="95" width="26.08984375" bestFit="1" customWidth="1"/>
    <col min="96" max="96" width="19.26953125" bestFit="1" customWidth="1"/>
    <col min="97" max="97" width="19.7265625" bestFit="1" customWidth="1"/>
    <col min="98" max="98" width="10" bestFit="1" customWidth="1"/>
  </cols>
  <sheetData>
    <row r="1" spans="1:2" x14ac:dyDescent="0.35">
      <c r="A1" s="6" t="s">
        <v>133</v>
      </c>
      <c r="B1" t="s">
        <v>207</v>
      </c>
    </row>
    <row r="3" spans="1:2" x14ac:dyDescent="0.35">
      <c r="A3" s="6" t="s">
        <v>229</v>
      </c>
      <c r="B3" t="s">
        <v>230</v>
      </c>
    </row>
    <row r="4" spans="1:2" x14ac:dyDescent="0.35">
      <c r="A4" s="7" t="s">
        <v>171</v>
      </c>
      <c r="B4" s="5">
        <v>0.39583333333333331</v>
      </c>
    </row>
    <row r="5" spans="1:2" x14ac:dyDescent="0.35">
      <c r="A5" s="8" t="s">
        <v>90</v>
      </c>
      <c r="B5" s="5">
        <v>3.125E-2</v>
      </c>
    </row>
    <row r="6" spans="1:2" x14ac:dyDescent="0.35">
      <c r="A6" s="8" t="s">
        <v>40</v>
      </c>
      <c r="B6" s="5">
        <v>8.3333333333333329E-2</v>
      </c>
    </row>
    <row r="7" spans="1:2" x14ac:dyDescent="0.35">
      <c r="A7" s="8" t="s">
        <v>35</v>
      </c>
      <c r="B7" s="5">
        <v>4.1666666666666664E-2</v>
      </c>
    </row>
    <row r="8" spans="1:2" x14ac:dyDescent="0.35">
      <c r="A8" s="8" t="s">
        <v>43</v>
      </c>
      <c r="B8" s="5">
        <v>8.3333333333333329E-2</v>
      </c>
    </row>
    <row r="9" spans="1:2" x14ac:dyDescent="0.35">
      <c r="A9" s="8" t="s">
        <v>46</v>
      </c>
      <c r="B9" s="5">
        <v>3.125E-2</v>
      </c>
    </row>
    <row r="10" spans="1:2" x14ac:dyDescent="0.35">
      <c r="A10" s="8" t="s">
        <v>37</v>
      </c>
      <c r="B10" s="5">
        <v>0.125</v>
      </c>
    </row>
    <row r="11" spans="1:2" x14ac:dyDescent="0.35">
      <c r="A11" s="7" t="s">
        <v>168</v>
      </c>
      <c r="B11" s="5">
        <v>0.30902777777777773</v>
      </c>
    </row>
    <row r="12" spans="1:2" x14ac:dyDescent="0.35">
      <c r="A12" s="8" t="s">
        <v>66</v>
      </c>
      <c r="B12" s="5">
        <v>2.0833333333333332E-2</v>
      </c>
    </row>
    <row r="13" spans="1:2" x14ac:dyDescent="0.35">
      <c r="A13" s="8" t="s">
        <v>117</v>
      </c>
      <c r="B13" s="5">
        <v>4.1666666666666664E-2</v>
      </c>
    </row>
    <row r="14" spans="1:2" x14ac:dyDescent="0.35">
      <c r="A14" s="8" t="s">
        <v>61</v>
      </c>
      <c r="B14" s="5">
        <v>2.0833333333333332E-2</v>
      </c>
    </row>
    <row r="15" spans="1:2" x14ac:dyDescent="0.35">
      <c r="A15" s="8" t="s">
        <v>54</v>
      </c>
      <c r="B15" s="5">
        <v>0.16666666666666666</v>
      </c>
    </row>
    <row r="16" spans="1:2" x14ac:dyDescent="0.35">
      <c r="A16" s="8" t="s">
        <v>42</v>
      </c>
      <c r="B16" s="5">
        <v>2.0833333333333332E-2</v>
      </c>
    </row>
    <row r="17" spans="1:2" x14ac:dyDescent="0.35">
      <c r="A17" s="8" t="s">
        <v>67</v>
      </c>
      <c r="B17" s="5">
        <v>3.8194444444444441E-2</v>
      </c>
    </row>
    <row r="18" spans="1:2" x14ac:dyDescent="0.35">
      <c r="A18" s="7" t="s">
        <v>170</v>
      </c>
      <c r="B18" s="5">
        <v>0.3125</v>
      </c>
    </row>
    <row r="19" spans="1:2" x14ac:dyDescent="0.35">
      <c r="A19" s="8" t="s">
        <v>20</v>
      </c>
      <c r="B19" s="5">
        <v>0.20833333333333331</v>
      </c>
    </row>
    <row r="20" spans="1:2" x14ac:dyDescent="0.35">
      <c r="A20" s="8" t="s">
        <v>13</v>
      </c>
      <c r="B20" s="5">
        <v>0.10416666666666666</v>
      </c>
    </row>
    <row r="21" spans="1:2" x14ac:dyDescent="0.35">
      <c r="A21" s="7" t="s">
        <v>166</v>
      </c>
      <c r="B21" s="5">
        <v>0.375</v>
      </c>
    </row>
    <row r="22" spans="1:2" x14ac:dyDescent="0.35">
      <c r="A22" s="8" t="s">
        <v>88</v>
      </c>
      <c r="B22" s="5">
        <v>2.0833333333333332E-2</v>
      </c>
    </row>
    <row r="23" spans="1:2" x14ac:dyDescent="0.35">
      <c r="A23" s="8" t="s">
        <v>81</v>
      </c>
      <c r="B23" s="5">
        <v>2.0833333333333332E-2</v>
      </c>
    </row>
    <row r="24" spans="1:2" x14ac:dyDescent="0.35">
      <c r="A24" s="8" t="s">
        <v>94</v>
      </c>
      <c r="B24" s="5">
        <v>0.33333333333333331</v>
      </c>
    </row>
    <row r="25" spans="1:2" x14ac:dyDescent="0.35">
      <c r="A25" s="7" t="s">
        <v>199</v>
      </c>
      <c r="B25" s="5">
        <v>4.1666666666666664E-2</v>
      </c>
    </row>
    <row r="26" spans="1:2" x14ac:dyDescent="0.35">
      <c r="A26" s="8" t="s">
        <v>107</v>
      </c>
      <c r="B26" s="5">
        <v>2.0833333333333332E-2</v>
      </c>
    </row>
    <row r="27" spans="1:2" x14ac:dyDescent="0.35">
      <c r="A27" s="8" t="s">
        <v>101</v>
      </c>
      <c r="B27" s="5">
        <v>2.0833333333333332E-2</v>
      </c>
    </row>
    <row r="28" spans="1:2" x14ac:dyDescent="0.35">
      <c r="A28" s="7" t="s">
        <v>169</v>
      </c>
      <c r="B28" s="5">
        <v>1.5520833333333335</v>
      </c>
    </row>
    <row r="29" spans="1:2" x14ac:dyDescent="0.35">
      <c r="A29" s="8" t="s">
        <v>17</v>
      </c>
      <c r="B29" s="5">
        <v>0.20833333333333331</v>
      </c>
    </row>
    <row r="30" spans="1:2" x14ac:dyDescent="0.35">
      <c r="A30" s="8" t="s">
        <v>93</v>
      </c>
      <c r="B30" s="5">
        <v>3.125E-2</v>
      </c>
    </row>
    <row r="31" spans="1:2" x14ac:dyDescent="0.35">
      <c r="A31" s="8" t="s">
        <v>58</v>
      </c>
      <c r="B31" s="5">
        <v>8.3333333333333329E-2</v>
      </c>
    </row>
    <row r="32" spans="1:2" x14ac:dyDescent="0.35">
      <c r="A32" s="8" t="s">
        <v>52</v>
      </c>
      <c r="B32" s="5">
        <v>2.0833333333333332E-2</v>
      </c>
    </row>
    <row r="33" spans="1:2" x14ac:dyDescent="0.35">
      <c r="A33" s="8" t="s">
        <v>9</v>
      </c>
      <c r="B33" s="5">
        <v>0.37499999999999989</v>
      </c>
    </row>
    <row r="34" spans="1:2" x14ac:dyDescent="0.35">
      <c r="A34" s="8" t="s">
        <v>102</v>
      </c>
      <c r="B34" s="5">
        <v>4.1666666666666664E-2</v>
      </c>
    </row>
    <row r="35" spans="1:2" x14ac:dyDescent="0.35">
      <c r="A35" s="8" t="s">
        <v>44</v>
      </c>
      <c r="B35" s="5">
        <v>8.3333333333333329E-2</v>
      </c>
    </row>
    <row r="36" spans="1:2" x14ac:dyDescent="0.35">
      <c r="A36" s="8" t="s">
        <v>31</v>
      </c>
      <c r="B36" s="5">
        <v>0.10416666666666667</v>
      </c>
    </row>
    <row r="37" spans="1:2" x14ac:dyDescent="0.35">
      <c r="A37" s="8" t="s">
        <v>108</v>
      </c>
      <c r="B37" s="5">
        <v>0.125</v>
      </c>
    </row>
    <row r="38" spans="1:2" x14ac:dyDescent="0.35">
      <c r="A38" s="8" t="s">
        <v>57</v>
      </c>
      <c r="B38" s="5">
        <v>6.25E-2</v>
      </c>
    </row>
    <row r="39" spans="1:2" x14ac:dyDescent="0.35">
      <c r="A39" s="8" t="s">
        <v>83</v>
      </c>
      <c r="B39" s="5">
        <v>6.25E-2</v>
      </c>
    </row>
    <row r="40" spans="1:2" x14ac:dyDescent="0.35">
      <c r="A40" s="8" t="s">
        <v>28</v>
      </c>
      <c r="B40" s="5">
        <v>6.25E-2</v>
      </c>
    </row>
    <row r="41" spans="1:2" x14ac:dyDescent="0.35">
      <c r="A41" s="8" t="s">
        <v>127</v>
      </c>
      <c r="B41" s="5">
        <v>0.125</v>
      </c>
    </row>
    <row r="42" spans="1:2" x14ac:dyDescent="0.35">
      <c r="A42" s="8" t="s">
        <v>26</v>
      </c>
      <c r="B42" s="5">
        <v>4.1666666666666664E-2</v>
      </c>
    </row>
    <row r="43" spans="1:2" x14ac:dyDescent="0.35">
      <c r="A43" s="8" t="s">
        <v>56</v>
      </c>
      <c r="B43" s="5">
        <v>4.1666666666666664E-2</v>
      </c>
    </row>
    <row r="44" spans="1:2" x14ac:dyDescent="0.35">
      <c r="A44" s="8" t="s">
        <v>82</v>
      </c>
      <c r="B44" s="5">
        <v>4.1666666666666664E-2</v>
      </c>
    </row>
    <row r="45" spans="1:2" x14ac:dyDescent="0.35">
      <c r="A45" s="8" t="s">
        <v>131</v>
      </c>
      <c r="B45" s="5">
        <v>4.1666666666666664E-2</v>
      </c>
    </row>
    <row r="46" spans="1:2" x14ac:dyDescent="0.35">
      <c r="A46" s="7" t="s">
        <v>228</v>
      </c>
      <c r="B46" s="5">
        <v>2.9861111111111098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35928-026E-419A-B563-4AD6C674C14B}">
  <sheetPr codeName="Planilha2"/>
  <dimension ref="A1:B10"/>
  <sheetViews>
    <sheetView workbookViewId="0">
      <selection activeCell="A9" sqref="A9"/>
    </sheetView>
  </sheetViews>
  <sheetFormatPr defaultRowHeight="14.5" x14ac:dyDescent="0.35"/>
  <sheetData>
    <row r="1" spans="1:2" x14ac:dyDescent="0.35">
      <c r="A1" t="s">
        <v>200</v>
      </c>
    </row>
    <row r="2" spans="1:2" x14ac:dyDescent="0.35">
      <c r="A2" s="3" t="s">
        <v>136</v>
      </c>
      <c r="B2" t="s">
        <v>165</v>
      </c>
    </row>
    <row r="3" spans="1:2" x14ac:dyDescent="0.35">
      <c r="A3" s="4" t="s">
        <v>144</v>
      </c>
      <c r="B3" t="s">
        <v>166</v>
      </c>
    </row>
    <row r="4" spans="1:2" x14ac:dyDescent="0.35">
      <c r="A4" s="4">
        <v>0</v>
      </c>
      <c r="B4" t="s">
        <v>167</v>
      </c>
    </row>
    <row r="5" spans="1:2" x14ac:dyDescent="0.35">
      <c r="A5" s="3" t="s">
        <v>136</v>
      </c>
    </row>
    <row r="6" spans="1:2" x14ac:dyDescent="0.35">
      <c r="A6" s="4" t="s">
        <v>135</v>
      </c>
      <c r="B6" t="s">
        <v>168</v>
      </c>
    </row>
    <row r="7" spans="1:2" x14ac:dyDescent="0.35">
      <c r="A7" s="3" t="s">
        <v>141</v>
      </c>
      <c r="B7" t="s">
        <v>169</v>
      </c>
    </row>
    <row r="8" spans="1:2" x14ac:dyDescent="0.35">
      <c r="A8" s="4" t="s">
        <v>134</v>
      </c>
      <c r="B8" t="s">
        <v>170</v>
      </c>
    </row>
    <row r="9" spans="1:2" x14ac:dyDescent="0.35">
      <c r="A9" s="3" t="s">
        <v>143</v>
      </c>
      <c r="B9" t="s">
        <v>171</v>
      </c>
    </row>
    <row r="10" spans="1:2" x14ac:dyDescent="0.35">
      <c r="A10" s="3" t="s">
        <v>199</v>
      </c>
      <c r="B10" t="s">
        <v>199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AC4353-E994-48C3-9213-A5BD25B4A3C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flavio-2023-mar-events</vt:lpstr>
      <vt:lpstr>clientes</vt:lpstr>
      <vt:lpstr>demais</vt:lpstr>
      <vt:lpstr>parametros</vt:lpstr>
      <vt:lpstr>Filtros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 Nunes Lopes</dc:creator>
  <cp:lastModifiedBy>Flavio Nunes Lopes</cp:lastModifiedBy>
  <dcterms:created xsi:type="dcterms:W3CDTF">2023-03-31T19:40:17Z</dcterms:created>
  <dcterms:modified xsi:type="dcterms:W3CDTF">2023-03-31T20:48:21Z</dcterms:modified>
</cp:coreProperties>
</file>