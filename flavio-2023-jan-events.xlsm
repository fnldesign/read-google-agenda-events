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-20.04\home\flaviolopes\projetos\apontamento-horas\fase1-automacao\read-google-agenda-events\"/>
    </mc:Choice>
  </mc:AlternateContent>
  <xr:revisionPtr revIDLastSave="0" documentId="13_ncr:1_{B97287C4-2ECF-4BB0-BE40-48B8F8CC19F5}" xr6:coauthVersionLast="47" xr6:coauthVersionMax="47" xr10:uidLastSave="{00000000-0000-0000-0000-000000000000}"/>
  <bookViews>
    <workbookView xWindow="-110" yWindow="-110" windowWidth="19420" windowHeight="10300" activeTab="3" xr2:uid="{A50BEC86-3736-48F2-85F9-B81D9DF13EFA}"/>
  </bookViews>
  <sheets>
    <sheet name="flavio-2023-jan-events" sheetId="2" r:id="rId1"/>
    <sheet name="tabela-dinamica" sheetId="5" r:id="rId2"/>
    <sheet name="Graficos" sheetId="6" r:id="rId3"/>
    <sheet name="dados" sheetId="4" r:id="rId4"/>
    <sheet name="parametros" sheetId="3" r:id="rId5"/>
  </sheets>
  <definedNames>
    <definedName name="_xlnm._FilterDatabase" localSheetId="3" hidden="1">dados!$A$1:$H$241</definedName>
    <definedName name="_xlnm._FilterDatabase" localSheetId="0" hidden="1">'flavio-2023-jan-events'!$A$1:$C$1</definedName>
    <definedName name="categoria1">parametros!$C$2:$C$10</definedName>
    <definedName name="categoria2">parametros!$E$3:$F$22</definedName>
    <definedName name="DadosExternos_1" localSheetId="0" hidden="1">'flavio-2023-jan-events'!$D$1:$L$240</definedName>
    <definedName name="land">parametros!$B$2:$B$3</definedName>
  </definedNames>
  <calcPr calcId="191029"/>
  <pivotCaches>
    <pivotCache cacheId="2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0" i="4" l="1"/>
  <c r="G239" i="4"/>
  <c r="G238" i="4"/>
  <c r="G237" i="4"/>
  <c r="G236" i="4"/>
  <c r="G232" i="4"/>
  <c r="G231" i="4"/>
  <c r="G230" i="4"/>
  <c r="G229" i="4"/>
  <c r="G228" i="4"/>
  <c r="G227" i="4"/>
  <c r="G226" i="4"/>
  <c r="G224" i="4"/>
  <c r="G222" i="4"/>
  <c r="G221" i="4"/>
  <c r="G220" i="4"/>
  <c r="G219" i="4"/>
  <c r="G216" i="4"/>
  <c r="G215" i="4"/>
  <c r="G214" i="4"/>
  <c r="G213" i="4"/>
  <c r="G210" i="4"/>
  <c r="G209" i="4"/>
  <c r="G208" i="4"/>
  <c r="G207" i="4"/>
  <c r="G206" i="4"/>
  <c r="G205" i="4"/>
  <c r="G201" i="4"/>
  <c r="G200" i="4"/>
  <c r="G199" i="4"/>
  <c r="G198" i="4"/>
  <c r="G197" i="4"/>
  <c r="G193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6" i="4"/>
  <c r="G175" i="4"/>
  <c r="G174" i="4"/>
  <c r="G173" i="4"/>
  <c r="G172" i="4"/>
  <c r="G171" i="4"/>
  <c r="G170" i="4"/>
  <c r="G169" i="4"/>
  <c r="G168" i="4"/>
  <c r="G167" i="4"/>
  <c r="G164" i="4"/>
  <c r="G163" i="4"/>
  <c r="G162" i="4"/>
  <c r="G158" i="4"/>
  <c r="G157" i="4"/>
  <c r="G154" i="4"/>
  <c r="G153" i="4"/>
  <c r="G152" i="4"/>
  <c r="G151" i="4"/>
  <c r="G150" i="4"/>
  <c r="G149" i="4"/>
  <c r="G148" i="4"/>
  <c r="G147" i="4"/>
  <c r="G142" i="4"/>
  <c r="G141" i="4"/>
  <c r="G140" i="4"/>
  <c r="G139" i="4"/>
  <c r="G138" i="4"/>
  <c r="G137" i="4"/>
  <c r="G136" i="4"/>
  <c r="G135" i="4"/>
  <c r="G134" i="4"/>
  <c r="G133" i="4"/>
  <c r="G129" i="4"/>
  <c r="G128" i="4"/>
  <c r="G127" i="4"/>
  <c r="G126" i="4"/>
  <c r="G125" i="4"/>
  <c r="G124" i="4"/>
  <c r="G123" i="4"/>
  <c r="G122" i="4"/>
  <c r="G121" i="4"/>
  <c r="G120" i="4"/>
  <c r="G119" i="4"/>
  <c r="G115" i="4"/>
  <c r="G114" i="4"/>
  <c r="G113" i="4"/>
  <c r="G112" i="4"/>
  <c r="G111" i="4"/>
  <c r="G110" i="4"/>
  <c r="G109" i="4"/>
  <c r="G108" i="4"/>
  <c r="G107" i="4"/>
  <c r="G106" i="4"/>
  <c r="G104" i="4"/>
  <c r="G102" i="4"/>
  <c r="G101" i="4"/>
  <c r="G100" i="4"/>
  <c r="G99" i="4"/>
  <c r="G96" i="4"/>
  <c r="G95" i="4"/>
  <c r="G94" i="4"/>
  <c r="G93" i="4"/>
  <c r="G90" i="4"/>
  <c r="G89" i="4"/>
  <c r="G88" i="4"/>
  <c r="G87" i="4"/>
  <c r="G86" i="4"/>
  <c r="G85" i="4"/>
  <c r="G81" i="4"/>
  <c r="G80" i="4"/>
  <c r="G79" i="4"/>
  <c r="G78" i="4"/>
  <c r="G77" i="4"/>
  <c r="G76" i="4"/>
  <c r="G75" i="4"/>
  <c r="G74" i="4"/>
  <c r="G70" i="4"/>
  <c r="G69" i="4"/>
  <c r="G68" i="4"/>
  <c r="G67" i="4"/>
  <c r="G66" i="4"/>
  <c r="G65" i="4"/>
  <c r="G64" i="4"/>
  <c r="G63" i="4"/>
  <c r="G62" i="4"/>
  <c r="G58" i="4"/>
  <c r="G57" i="4"/>
  <c r="G56" i="4"/>
  <c r="G55" i="4"/>
  <c r="G53" i="4"/>
  <c r="G52" i="4"/>
  <c r="G50" i="4"/>
  <c r="G48" i="4"/>
  <c r="G47" i="4"/>
  <c r="G46" i="4"/>
  <c r="G45" i="4"/>
  <c r="G42" i="4"/>
  <c r="G41" i="4"/>
  <c r="G39" i="4"/>
  <c r="G37" i="4"/>
  <c r="G36" i="4"/>
  <c r="G35" i="4"/>
  <c r="G34" i="4"/>
  <c r="G33" i="4"/>
  <c r="G32" i="4"/>
  <c r="G31" i="4"/>
  <c r="G27" i="4"/>
  <c r="G26" i="4"/>
  <c r="G25" i="4"/>
  <c r="G24" i="4"/>
  <c r="G23" i="4"/>
  <c r="G19" i="4"/>
  <c r="G18" i="4"/>
  <c r="G17" i="4"/>
  <c r="G16" i="4"/>
  <c r="G15" i="4"/>
  <c r="G11" i="4"/>
  <c r="G10" i="4"/>
  <c r="G9" i="4"/>
  <c r="G8" i="4"/>
  <c r="G7" i="4"/>
  <c r="G6" i="4"/>
  <c r="G4" i="4"/>
  <c r="N4" i="4" s="1"/>
  <c r="O4" i="4" s="1"/>
  <c r="G3" i="4"/>
  <c r="N3" i="4" s="1"/>
  <c r="O3" i="4" s="1"/>
  <c r="G2" i="4"/>
  <c r="N2" i="4" s="1"/>
  <c r="O2" i="4" s="1"/>
  <c r="G143" i="4"/>
  <c r="G241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924AA1-E2A9-43EF-87DD-A303C339EDDC}" keepAlive="1" name="Consulta - flavio-2023-jan-events" description="Conexão com a consulta 'flavio-2023-jan-events' na pasta de trabalho." type="5" refreshedVersion="8" background="1" saveData="1">
    <dbPr connection="Provider=Microsoft.Mashup.OleDb.1;Data Source=$Workbook$;Location=flavio-2023-jan-events;Extended Properties=&quot;&quot;" command="SELECT * FROM [flavio-2023-jan-events]"/>
  </connection>
</connections>
</file>

<file path=xl/sharedStrings.xml><?xml version="1.0" encoding="utf-8"?>
<sst xmlns="http://schemas.openxmlformats.org/spreadsheetml/2006/main" count="3027" uniqueCount="188">
  <si>
    <t>calendar_owner_name</t>
  </si>
  <si>
    <t>calendar_owner_email</t>
  </si>
  <si>
    <t>start_date</t>
  </si>
  <si>
    <t>end_date</t>
  </si>
  <si>
    <t>duration</t>
  </si>
  <si>
    <t>event</t>
  </si>
  <si>
    <t>created</t>
  </si>
  <si>
    <t>organizaer</t>
  </si>
  <si>
    <t>attendees[email|name|response_status]</t>
  </si>
  <si>
    <t>Daily | Solutions Team</t>
  </si>
  <si>
    <t/>
  </si>
  <si>
    <t>[SENSEDIA] Bate Papo</t>
  </si>
  <si>
    <t>Flavio / Renan</t>
  </si>
  <si>
    <t>alinhamento CPFL</t>
  </si>
  <si>
    <t>Open Finance Strat Sync</t>
  </si>
  <si>
    <t>[PAGSEGURO] Recorrencia semanal.</t>
  </si>
  <si>
    <t>Flavio Nunes / Renan</t>
  </si>
  <si>
    <t>Open Education Checkpoint</t>
  </si>
  <si>
    <t>[Uniprime Central] Reserva #2</t>
  </si>
  <si>
    <t>Alinhamento Concremat</t>
  </si>
  <si>
    <t>[SulAmerica Company’s case] English Presentation</t>
  </si>
  <si>
    <t>SMR + Celebration</t>
  </si>
  <si>
    <t>Pre alinhamento apresentação Cogna</t>
  </si>
  <si>
    <t>Estrutura da Apresentação Cogna &amp; Sensedia</t>
  </si>
  <si>
    <t>[Daily] OpenBanking</t>
  </si>
  <si>
    <t>Alelo &lt;&gt;Sensedia</t>
  </si>
  <si>
    <t>Product Feedback Meeting From Sales/Solutions</t>
  </si>
  <si>
    <t xml:space="preserve">[Banco BBM] PCM </t>
  </si>
  <si>
    <t>[Volvo] Alinhamento interno</t>
  </si>
  <si>
    <t>AGL &amp; Sensedia</t>
  </si>
  <si>
    <t>Papo s/ Café da Manhã c/ Especialista Mercado Livre de Energia</t>
  </si>
  <si>
    <t>Alinhamento da Alelo</t>
  </si>
  <si>
    <t>Geradorde Devs I Partner Sensedia</t>
  </si>
  <si>
    <t>1:1 Flavio Nunes / Rafael</t>
  </si>
  <si>
    <t>[BITCapital] PCM</t>
  </si>
  <si>
    <t>[Banco Randon &amp; Sensedia] PCM</t>
  </si>
  <si>
    <t>Checkpoint GTM iPaaS</t>
  </si>
  <si>
    <t>HSBC | Sinqia/Sensedia: Reunião voltada ao open banking</t>
  </si>
  <si>
    <t>Solutions &amp; Sensedia StratPlan 2023</t>
  </si>
  <si>
    <t xml:space="preserve">Renan + Carol </t>
  </si>
  <si>
    <t>[Conversa] The Bakery + Sensedia</t>
  </si>
  <si>
    <t>Banestes/Sensedia enriquecimento de dados Open Banking</t>
  </si>
  <si>
    <t>[The Bakery] Alinhamento Solutions</t>
  </si>
  <si>
    <t>[Keb Hana] PCM</t>
  </si>
  <si>
    <t>Flavio Nunes / Roberta Prado</t>
  </si>
  <si>
    <t>NEON X SENSEDIA</t>
  </si>
  <si>
    <t>APIX 23 | Demo Presentations</t>
  </si>
  <si>
    <t>[Reserva] Papo Open Education</t>
  </si>
  <si>
    <t>Conversa | The Bakery + Sensedia</t>
  </si>
  <si>
    <t>Alinhamento Opps Service Mesh</t>
  </si>
  <si>
    <t>Deslocamento Agenda Neon</t>
  </si>
  <si>
    <t>Alinhamento Oportunidades Parcerias (The Bakery, Fabricas de Software, outras)</t>
  </si>
  <si>
    <t>[Alelo] Integração com o WSO2</t>
  </si>
  <si>
    <t>Visita Pay4Fun</t>
  </si>
  <si>
    <t>PCM Banestes Sensedia</t>
  </si>
  <si>
    <t>Focus Time</t>
  </si>
  <si>
    <t>WGO Vibrant Culture</t>
  </si>
  <si>
    <t>Alinhamento</t>
  </si>
  <si>
    <t xml:space="preserve">Validação Produção Cielo x Sicredi </t>
  </si>
  <si>
    <t>Papo Open Education</t>
  </si>
  <si>
    <t>Alinhamento Cardif</t>
  </si>
  <si>
    <t xml:space="preserve"> Solutions Workshop (Flavio)</t>
  </si>
  <si>
    <t>Flavio/ Joao 1:1</t>
  </si>
  <si>
    <t>[Sensedia] Renan Hugenneyer de Matos and Rodrigo Abreu</t>
  </si>
  <si>
    <t>bakery</t>
  </si>
  <si>
    <t>WGO Global Reach</t>
  </si>
  <si>
    <t xml:space="preserve">Papo Léo e Flavio (1:1) </t>
  </si>
  <si>
    <t>ICONIC + SENSEDIA</t>
  </si>
  <si>
    <t>[Positivo] PoC OpenEdu</t>
  </si>
  <si>
    <t>[VR] Alinhamento Gateway</t>
  </si>
  <si>
    <t xml:space="preserve">Papo Léo e Flavio </t>
  </si>
  <si>
    <t>Tendência do Setor Elétrico em 2023</t>
  </si>
  <si>
    <t>[SAVE THE DATE] Talent Review 2023</t>
  </si>
  <si>
    <t>Apresentação POC Positivo</t>
  </si>
  <si>
    <t>Conversa | Neurotech + Sensedia</t>
  </si>
  <si>
    <t>Cardif</t>
  </si>
  <si>
    <t>solutions-ritos</t>
  </si>
  <si>
    <t>solutions</t>
  </si>
  <si>
    <t>cliente</t>
  </si>
  <si>
    <t>openbanking</t>
  </si>
  <si>
    <t>open</t>
  </si>
  <si>
    <t>partnership-channels</t>
  </si>
  <si>
    <t>partnership</t>
  </si>
  <si>
    <t>solutions-plan-2023</t>
  </si>
  <si>
    <t>openeducation</t>
  </si>
  <si>
    <t>sales</t>
  </si>
  <si>
    <t>sensedia-wgo</t>
  </si>
  <si>
    <t>sensedia</t>
  </si>
  <si>
    <t>solutions-tech</t>
  </si>
  <si>
    <t>1:1 BizDev</t>
  </si>
  <si>
    <t>solutions-alinhamentos</t>
  </si>
  <si>
    <t>focus-time</t>
  </si>
  <si>
    <t>sales-torre-finance</t>
  </si>
  <si>
    <t>internas</t>
  </si>
  <si>
    <t>sensedia-corp</t>
  </si>
  <si>
    <t>1:1 Gestão Solutions</t>
  </si>
  <si>
    <t>banco-de-horas</t>
  </si>
  <si>
    <t>banco</t>
  </si>
  <si>
    <t>solutions-gtm</t>
  </si>
  <si>
    <t>partnership-tech</t>
  </si>
  <si>
    <t>deslocamento</t>
  </si>
  <si>
    <t>Rótulos de Linha</t>
  </si>
  <si>
    <t>(vazio)</t>
  </si>
  <si>
    <t>Total Geral</t>
  </si>
  <si>
    <t>categoria1</t>
  </si>
  <si>
    <t>categoria2</t>
  </si>
  <si>
    <t>land</t>
  </si>
  <si>
    <t>expand</t>
  </si>
  <si>
    <t>ignore</t>
  </si>
  <si>
    <t>[GTM IpaaS] ignore Sales Enablement</t>
  </si>
  <si>
    <t>1:1 Weekly ignore Roberta Prado / Flavio Nunes</t>
  </si>
  <si>
    <t>Out of office ignore Lunch Time</t>
  </si>
  <si>
    <t>Weekly ignore Business Unit ignore Finance &amp; Oil and Gas ignore Utilities</t>
  </si>
  <si>
    <t xml:space="preserve">[Sheila + Denise + Thiago] ignore Weekly </t>
  </si>
  <si>
    <t>Papo ignore Mercado Livre de Energia</t>
  </si>
  <si>
    <t>[Sensedia] ignore OpenFinance ignore PCM (Plataforma de Coleta de Métricas)</t>
  </si>
  <si>
    <t>English Class ignore Fluentia</t>
  </si>
  <si>
    <t>Open Finance PCM ignore round 2</t>
  </si>
  <si>
    <t>iPaaS Enablement ignore Alinhamento sobre objetivos e metas</t>
  </si>
  <si>
    <t xml:space="preserve">C6 ignore Mesh </t>
  </si>
  <si>
    <t>[Open] Tribo ignore Acompanhamento semanal</t>
  </si>
  <si>
    <t>Reagendando  para amadurecer pontos trazidosignore CARDIF</t>
  </si>
  <si>
    <t>[Neon] Open Finance ignore PCM</t>
  </si>
  <si>
    <t>[LATAM] Automation Use Cases ignore Sensedia CLI</t>
  </si>
  <si>
    <t>Apresentação PCM ignore Omni Banco</t>
  </si>
  <si>
    <t>[C6 BANK] ignore Alinhamento para Criação de PT ignore Service Mesh</t>
  </si>
  <si>
    <t>STM ignore vamos falar de iPaaS?</t>
  </si>
  <si>
    <t>Grupo de Trabalho Open Education ignore check point quinzenal</t>
  </si>
  <si>
    <t>Agenda Presencial ignore QMC Telecom</t>
  </si>
  <si>
    <t>[Senff] ignore Dúvidas PCM</t>
  </si>
  <si>
    <t>[C6 Bank] Leonardo Americo / Flavio Nunes ignore Detalhamento de Premissas de consultoria PT Service Mesh ignore Reserva</t>
  </si>
  <si>
    <t>Post Mortem ignore Banco Fibra</t>
  </si>
  <si>
    <t>Sensedia ignore Apresentação ToBe</t>
  </si>
  <si>
    <t>Apresentação Sensediaignore Total Energies</t>
  </si>
  <si>
    <t>Apresentação Proposta PCM ignore Omni Banco</t>
  </si>
  <si>
    <t>CARDIF ignore ESTRATÉGIA APRESENTAÇÃO DE QUARTA 18/01</t>
  </si>
  <si>
    <t>[Pre KickignoreOff] Business Tower</t>
  </si>
  <si>
    <t>Feedback iPaaS ignore Connectors</t>
  </si>
  <si>
    <t>[OpenEduc] Desenho de POC ignore Positivo</t>
  </si>
  <si>
    <t>Open Tribe ignore Product Review</t>
  </si>
  <si>
    <t>Solutions 2023 ignore vamos repensar nosso modus operandi?</t>
  </si>
  <si>
    <t>Alelo ignore papo interno sobre Peering</t>
  </si>
  <si>
    <t>Mencionar Piloto Service Mesh ignore JCA Holding</t>
  </si>
  <si>
    <t>Open Educationignore APIs</t>
  </si>
  <si>
    <t>Bate Papo ignore PT Mesh</t>
  </si>
  <si>
    <t>ENC: RFP ignore Nova Fábrica de Software V.tal</t>
  </si>
  <si>
    <t>API Management Tribe ignore Product Review</t>
  </si>
  <si>
    <t>Apresentação PCM ignore Wooribank</t>
  </si>
  <si>
    <t>BR Sales ignore Alinhamento Semanal</t>
  </si>
  <si>
    <t>Solution Tech Meetings ignore Service Mesh</t>
  </si>
  <si>
    <t>[Reserva] Alelo ignore Integração / Introspect IDM</t>
  </si>
  <si>
    <t>Leonardo Americo / Flavio Nunes ignore Alinhamento PagSeguro e Travelex</t>
  </si>
  <si>
    <t>Thiago / Flavio Nunes ignore Alinhamento Workshop</t>
  </si>
  <si>
    <t>RFP ignore Nova Fábrica de Software V.tal ignore segunda rodada de dúvidas</t>
  </si>
  <si>
    <t>AWS &amp; Sensedia ignore Educação</t>
  </si>
  <si>
    <t>Focus time ignore Propostas</t>
  </si>
  <si>
    <t>[Keb Hana] PCM ignore Próximos passos</t>
  </si>
  <si>
    <t>Focus time ignore Desenho Arquitetura The Bakery</t>
  </si>
  <si>
    <t>Out of office ignore Banco de Horas ignore Feriado SP</t>
  </si>
  <si>
    <t>The Bakrey ignore Revisão Pitch</t>
  </si>
  <si>
    <t>Cardif ignore Alinhamento Proposta ignore Arthur</t>
  </si>
  <si>
    <t>Bakery ignore Teste Gravação</t>
  </si>
  <si>
    <t>Solution Tech Meetings ignore Ofertas Freemium by Rodrigo Viana</t>
  </si>
  <si>
    <t>Metas Expand ignore Alinhamento</t>
  </si>
  <si>
    <t>The Bakery ignore Pitch ignore Solução para Otimização de Autorizações de aumento de Limite de Crédito</t>
  </si>
  <si>
    <t>Updates JIRA ignore Bora atualizar!!</t>
  </si>
  <si>
    <t>[Torre Finance] Use Cases ignore Ipaas</t>
  </si>
  <si>
    <t>Bate Papo ignore Mesh</t>
  </si>
  <si>
    <t>NA</t>
  </si>
  <si>
    <t>interna</t>
  </si>
  <si>
    <t>new</t>
  </si>
  <si>
    <t>open-banking-pcm</t>
  </si>
  <si>
    <t>open-banking</t>
  </si>
  <si>
    <t>open-education</t>
  </si>
  <si>
    <t>open-energy</t>
  </si>
  <si>
    <t>clientes</t>
  </si>
  <si>
    <t>parcerias</t>
  </si>
  <si>
    <t>latam</t>
  </si>
  <si>
    <t>soluttions-tech</t>
  </si>
  <si>
    <t>corp</t>
  </si>
  <si>
    <t>post-mortem</t>
  </si>
  <si>
    <t>solutions-gtw</t>
  </si>
  <si>
    <t>Soma de start_date</t>
  </si>
  <si>
    <t>#horas</t>
  </si>
  <si>
    <t>categoria</t>
  </si>
  <si>
    <t>apontadas</t>
  </si>
  <si>
    <t>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</si>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</sst>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[$-F400]h:mm:ss\ AM/PM"/>
    <numFmt numFmtId="169" formatCode="dd/mm/yy\ hh:mm;@"/>
    <numFmt numFmtId="170" formatCode="0.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0" xfId="0" applyFont="1"/>
    <xf numFmtId="0" fontId="1" fillId="0" borderId="0" xfId="0" applyFont="1"/>
    <xf numFmtId="22" fontId="1" fillId="0" borderId="0" xfId="0" applyNumberFormat="1" applyFont="1"/>
    <xf numFmtId="0" fontId="1" fillId="0" borderId="0" xfId="0" applyNumberFormat="1" applyFont="1"/>
    <xf numFmtId="0" fontId="0" fillId="0" borderId="0" xfId="0" applyFont="1" applyFill="1" applyBorder="1" applyAlignment="1">
      <alignment horizontal="left"/>
    </xf>
    <xf numFmtId="165" fontId="0" fillId="0" borderId="0" xfId="0" applyNumberFormat="1"/>
    <xf numFmtId="169" fontId="0" fillId="0" borderId="0" xfId="0" applyNumberFormat="1"/>
    <xf numFmtId="2" fontId="0" fillId="0" borderId="0" xfId="0" applyNumberFormat="1"/>
    <xf numFmtId="170" fontId="0" fillId="0" borderId="0" xfId="0" applyNumberFormat="1"/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7" formatCode="dd/mm/yyyy\ hh:mm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Pipe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Graficos!$A$3:$A$5</c:f>
              <c:strCache>
                <c:ptCount val="3"/>
                <c:pt idx="0">
                  <c:v>expand</c:v>
                </c:pt>
                <c:pt idx="1">
                  <c:v>interna</c:v>
                </c:pt>
                <c:pt idx="2">
                  <c:v>new</c:v>
                </c:pt>
              </c:strCache>
            </c:strRef>
          </c:cat>
          <c:val>
            <c:numRef>
              <c:f>Graficos!$B$3:$B$5</c:f>
              <c:numCache>
                <c:formatCode>General</c:formatCode>
                <c:ptCount val="3"/>
                <c:pt idx="0">
                  <c:v>35.499999999941792</c:v>
                </c:pt>
                <c:pt idx="1">
                  <c:v>84.749999996623956</c:v>
                </c:pt>
                <c:pt idx="2">
                  <c:v>21.750000000523869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66-46FF-A5C8-751792DB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Graficos!$I$2</c:f>
              <c:strCache>
                <c:ptCount val="1"/>
                <c:pt idx="0">
                  <c:v>#horas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Graficos!$H$3:$H$8</c:f>
              <c:strCache>
                <c:ptCount val="6"/>
                <c:pt idx="0">
                  <c:v>clientes</c:v>
                </c:pt>
                <c:pt idx="1">
                  <c:v>open</c:v>
                </c:pt>
                <c:pt idx="2">
                  <c:v>parcerias</c:v>
                </c:pt>
                <c:pt idx="3">
                  <c:v>sales</c:v>
                </c:pt>
                <c:pt idx="4">
                  <c:v>sensedia</c:v>
                </c:pt>
                <c:pt idx="5">
                  <c:v>solutions</c:v>
                </c:pt>
              </c:strCache>
            </c:strRef>
          </c:cat>
          <c:val>
            <c:numRef>
              <c:f>Graficos!$I$3:$I$8</c:f>
              <c:numCache>
                <c:formatCode>General</c:formatCode>
                <c:ptCount val="6"/>
                <c:pt idx="0">
                  <c:v>40.999999999708962</c:v>
                </c:pt>
                <c:pt idx="1">
                  <c:v>35.749999999883585</c:v>
                </c:pt>
                <c:pt idx="2">
                  <c:v>2.5000000001164153</c:v>
                </c:pt>
                <c:pt idx="3">
                  <c:v>17.749999999359716</c:v>
                </c:pt>
                <c:pt idx="4">
                  <c:v>2.999999999825377</c:v>
                </c:pt>
                <c:pt idx="5">
                  <c:v>41.74999999825377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75-4117-BE53-0DEDCDAFB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415925</xdr:colOff>
      <xdr:row>1</xdr:row>
      <xdr:rowOff>95250</xdr:rowOff>
    </xdr:from>
    <xdr:to>
      <xdr:col>18</xdr:col>
      <xdr:colOff>111125</xdr:colOff>
      <xdr:row>16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D678ED-3E6A-F2B1-A968-AE8F860EA1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415925</xdr:colOff>
      <xdr:row>17</xdr:row>
      <xdr:rowOff>31750</xdr:rowOff>
    </xdr:from>
    <xdr:to>
      <xdr:col>18</xdr:col>
      <xdr:colOff>111125</xdr:colOff>
      <xdr:row>32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CD47BD7-67DD-DBF8-0CD9-CDC3BF00F4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avio Nunes Lopes" refreshedDate="44957.958258101855" createdVersion="8" refreshedVersion="8" minRefreshableVersion="3" recordCount="239" xr:uid="{434223DB-18E4-4CD5-95DF-628B44E889D5}">
  <cacheSource type="worksheet">
    <worksheetSource ref="A1:H240" sheet="dados"/>
  </cacheSource>
  <cacheFields count="7">
    <cacheField name="land" numFmtId="0">
      <sharedItems containsBlank="1" count="5">
        <s v="interna"/>
        <m/>
        <s v="expand"/>
        <s v="new"/>
        <s v="land" u="1"/>
      </sharedItems>
    </cacheField>
    <cacheField name="categoria1" numFmtId="0">
      <sharedItems containsBlank="1" count="8">
        <s v="solutions"/>
        <s v="sales"/>
        <s v="ignore"/>
        <s v="open"/>
        <s v="clientes"/>
        <s v="parcerias"/>
        <m/>
        <s v="sensedia"/>
      </sharedItems>
    </cacheField>
    <cacheField name="categoria2" numFmtId="0">
      <sharedItems containsBlank="1" count="21">
        <s v="solutions-ritos"/>
        <s v="solutions-gtm"/>
        <s v="1:1 BizDev"/>
        <s v="ignore"/>
        <s v="sales-torre-finance"/>
        <s v="open-energy"/>
        <m/>
        <s v="open-banking-pcm"/>
        <s v="open-banking"/>
        <s v="latam"/>
        <s v="open-education"/>
        <s v="solutions-alinhamentos"/>
        <s v="sales"/>
        <s v="soluttions-tech"/>
        <s v="1:1 Gestão Solutions"/>
        <s v="solutions-plan-2023"/>
        <s v="solutions-tech"/>
        <s v="corp"/>
        <s v="solutions"/>
        <s v="post-mortem"/>
        <s v="solutions-gtw"/>
      </sharedItems>
    </cacheField>
    <cacheField name="calendar_owner_name" numFmtId="169">
      <sharedItems containsSemiMixedTypes="0" containsNonDate="0" containsDate="1" containsString="0" minDate="2023-01-02T08:45:00" maxDate="2023-01-31T17:00:00"/>
    </cacheField>
    <cacheField name="calendar_owner_email" numFmtId="169">
      <sharedItems containsSemiMixedTypes="0" containsNonDate="0" containsDate="1" containsString="0" minDate="2023-01-02T09:15:00" maxDate="2023-01-31T17:30:00"/>
    </cacheField>
    <cacheField name="start_date" numFmtId="0">
      <sharedItems containsSemiMixedTypes="0" containsDate="1" containsString="0" containsMixedTypes="1" minDate="1899-12-30T00:15:00" maxDate="1899-12-30T02:30:00" count="25">
        <d v="1899-12-30T12:00:00"/>
        <n v="1.0000000001164153"/>
        <n v="0.24999999994179234"/>
        <n v="10"/>
        <n v="0.99999999994179234"/>
        <n v="0.49999999988358468"/>
        <n v="0.50000000005820766"/>
        <n v="5"/>
        <n v="1.5"/>
        <n v="0.75"/>
        <n v="2.0000000000582077"/>
        <n v="2.4999999999417923"/>
        <d v="1899-12-30T01:00:00"/>
        <n v="15"/>
        <n v="1.7499999999417923"/>
        <n v="0.25000000011641532"/>
        <n v="1.9999999998835847"/>
        <n v="40"/>
        <d v="1899-12-30T02:00:00" u="1"/>
        <d v="1899-12-30T00:15:00" u="1"/>
        <d v="1899-12-30T00:30:00" u="1"/>
        <d v="1899-12-30T01:30:00" u="1"/>
        <d v="1899-12-30T02:30:00" u="1"/>
        <d v="1899-12-30T00:45:00" u="1"/>
        <d v="1899-12-30T01:45:00" u="1"/>
      </sharedItems>
    </cacheField>
    <cacheField name="end_dat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  <d v="2023-01-02T08:45:00"/>
    <d v="2023-01-02T09:15:00"/>
    <x v="0"/>
    <s v="Daily | Solutions Team"/>
  </r>
  <r>
    <x v="0"/>
    <x v="0"/>
    <x v="1"/>
    <d v="2023-01-02T09:15:00"/>
    <d v="2023-01-02T10:15:00"/>
    <x v="1"/>
    <s v="[GTM IpaaS] ignore Sales Enablement"/>
  </r>
  <r>
    <x v="0"/>
    <x v="1"/>
    <x v="2"/>
    <d v="2023-01-02T11:45:00"/>
    <d v="2023-01-02T12:00:00"/>
    <x v="2"/>
    <s v="1:1 Weekly ignore Roberta Prado / Flavio Nunes"/>
  </r>
  <r>
    <x v="1"/>
    <x v="2"/>
    <x v="3"/>
    <d v="2023-01-02T12:00:00"/>
    <d v="2023-01-02T13:00:00"/>
    <x v="3"/>
    <s v="Out of office ignore Lunch Time"/>
  </r>
  <r>
    <x v="0"/>
    <x v="1"/>
    <x v="4"/>
    <d v="2023-01-02T15:00:00"/>
    <d v="2023-01-02T16:00:00"/>
    <x v="4"/>
    <s v="Weekly ignore Business Unit ignore Finance &amp; Oil and Gas ignore Utilities"/>
  </r>
  <r>
    <x v="0"/>
    <x v="0"/>
    <x v="0"/>
    <d v="2023-01-03T08:45:00"/>
    <d v="2023-01-03T09:15:00"/>
    <x v="5"/>
    <s v="Daily | Solutions Team"/>
  </r>
  <r>
    <x v="0"/>
    <x v="1"/>
    <x v="2"/>
    <d v="2023-01-03T09:30:00"/>
    <d v="2023-01-03T10:00:00"/>
    <x v="5"/>
    <s v="[Sheila + Denise + Thiago] ignore Weekly "/>
  </r>
  <r>
    <x v="0"/>
    <x v="3"/>
    <x v="5"/>
    <d v="2023-01-03T10:00:00"/>
    <d v="2023-01-03T10:30:00"/>
    <x v="6"/>
    <s v="Papo ignore Mercado Livre de Energia"/>
  </r>
  <r>
    <x v="2"/>
    <x v="4"/>
    <x v="6"/>
    <d v="2023-01-19T14:00:00"/>
    <d v="2023-01-19T14:30:00"/>
    <x v="5"/>
    <s v="[Alelo] Integração com o WSO2"/>
  </r>
  <r>
    <x v="0"/>
    <x v="1"/>
    <x v="2"/>
    <d v="2023-01-03T11:30:00"/>
    <d v="2023-01-03T12:00:00"/>
    <x v="6"/>
    <s v="Flavio / Renan"/>
  </r>
  <r>
    <x v="1"/>
    <x v="2"/>
    <x v="3"/>
    <d v="2023-01-03T11:30:00"/>
    <d v="2023-01-03T12:00:00"/>
    <x v="7"/>
    <s v="[Sensedia] ignore OpenFinance ignore PCM (Plataforma de Coleta de Métricas)"/>
  </r>
  <r>
    <x v="1"/>
    <x v="2"/>
    <x v="3"/>
    <d v="2023-01-03T12:00:00"/>
    <d v="2023-01-03T13:00:00"/>
    <x v="3"/>
    <s v="Out of office ignore Lunch Time"/>
  </r>
  <r>
    <x v="1"/>
    <x v="2"/>
    <x v="3"/>
    <d v="2023-01-03T12:15:00"/>
    <d v="2023-01-03T13:15:00"/>
    <x v="3"/>
    <s v="English Class ignore Fluentia"/>
  </r>
  <r>
    <x v="2"/>
    <x v="3"/>
    <x v="7"/>
    <d v="2023-01-10T16:00:00"/>
    <d v="2023-01-10T17:00:00"/>
    <x v="1"/>
    <s v="[Banco BBM] PCM "/>
  </r>
  <r>
    <x v="0"/>
    <x v="3"/>
    <x v="7"/>
    <d v="2023-01-03T15:00:00"/>
    <d v="2023-01-03T16:00:00"/>
    <x v="4"/>
    <s v="Open Finance PCM ignore round 2"/>
  </r>
  <r>
    <x v="2"/>
    <x v="3"/>
    <x v="7"/>
    <d v="2023-01-12T17:00:00"/>
    <d v="2023-01-12T18:00:00"/>
    <x v="4"/>
    <s v="[Banco Randon &amp; Sensedia] PCM"/>
  </r>
  <r>
    <x v="0"/>
    <x v="0"/>
    <x v="0"/>
    <d v="2023-01-04T08:45:00"/>
    <d v="2023-01-04T09:15:00"/>
    <x v="5"/>
    <s v="Daily | Solutions Team"/>
  </r>
  <r>
    <x v="0"/>
    <x v="3"/>
    <x v="8"/>
    <d v="2023-01-04T11:00:00"/>
    <d v="2023-01-04T11:30:00"/>
    <x v="5"/>
    <s v="Open Finance Strat Sync"/>
  </r>
  <r>
    <x v="1"/>
    <x v="2"/>
    <x v="3"/>
    <d v="2023-01-04T11:30:00"/>
    <d v="2023-01-04T12:00:00"/>
    <x v="7"/>
    <s v="[Sensedia] ignore OpenFinance ignore PCM (Plataforma de Coleta de Métricas)"/>
  </r>
  <r>
    <x v="1"/>
    <x v="2"/>
    <x v="3"/>
    <d v="2023-01-04T11:30:00"/>
    <d v="2023-01-04T12:00:00"/>
    <x v="7"/>
    <s v="[PAGSEGURO] Recorrencia semanal."/>
  </r>
  <r>
    <x v="1"/>
    <x v="2"/>
    <x v="3"/>
    <d v="2023-01-04T12:00:00"/>
    <d v="2023-01-04T13:00:00"/>
    <x v="3"/>
    <s v="Out of office ignore Lunch Time"/>
  </r>
  <r>
    <x v="0"/>
    <x v="1"/>
    <x v="2"/>
    <d v="2023-01-04T14:00:00"/>
    <d v="2023-01-04T14:30:00"/>
    <x v="5"/>
    <s v="Flavio Nunes / Renan"/>
  </r>
  <r>
    <x v="0"/>
    <x v="0"/>
    <x v="0"/>
    <d v="2023-01-05T08:45:00"/>
    <d v="2023-01-05T09:15:00"/>
    <x v="5"/>
    <s v="Daily | Solutions Team"/>
  </r>
  <r>
    <x v="2"/>
    <x v="3"/>
    <x v="7"/>
    <d v="2023-01-12T15:00:00"/>
    <d v="2023-01-12T16:00:00"/>
    <x v="4"/>
    <s v="[BITCapital] PCM"/>
  </r>
  <r>
    <x v="3"/>
    <x v="4"/>
    <x v="6"/>
    <d v="2023-01-06T11:50:00"/>
    <d v="2023-01-06T12:20:00"/>
    <x v="6"/>
    <s v="[C6 BANK] ignore Alinhamento para Criação de PT ignore Service Mesh"/>
  </r>
  <r>
    <x v="3"/>
    <x v="4"/>
    <x v="6"/>
    <d v="2023-01-10T17:00:00"/>
    <d v="2023-01-10T17:30:00"/>
    <x v="5"/>
    <s v="[C6 Bank] Leonardo Americo / Flavio Nunes ignore Detalhamento de Premissas de consultoria PT Service Mesh ignore Reserva"/>
  </r>
  <r>
    <x v="1"/>
    <x v="2"/>
    <x v="3"/>
    <d v="2023-01-05T11:30:00"/>
    <d v="2023-01-05T12:00:00"/>
    <x v="7"/>
    <s v="[Sensedia] ignore OpenFinance ignore PCM (Plataforma de Coleta de Métricas)"/>
  </r>
  <r>
    <x v="1"/>
    <x v="2"/>
    <x v="3"/>
    <d v="2023-01-05T12:00:00"/>
    <d v="2023-01-05T13:00:00"/>
    <x v="3"/>
    <s v="Out of office ignore Lunch Time"/>
  </r>
  <r>
    <x v="1"/>
    <x v="2"/>
    <x v="3"/>
    <d v="2023-01-05T12:15:00"/>
    <d v="2023-01-05T13:15:00"/>
    <x v="3"/>
    <s v="English Class ignore Fluentia"/>
  </r>
  <r>
    <x v="3"/>
    <x v="4"/>
    <x v="6"/>
    <d v="2023-01-16T10:30:00"/>
    <d v="2023-01-16T11:30:00"/>
    <x v="4"/>
    <s v="[Conversa] The Bakery + Sensedia"/>
  </r>
  <r>
    <x v="0"/>
    <x v="0"/>
    <x v="9"/>
    <d v="2023-01-05T15:00:00"/>
    <d v="2023-01-05T16:00:00"/>
    <x v="4"/>
    <s v="[LATAM] Automation Use Cases ignore Sensedia CLI"/>
  </r>
  <r>
    <x v="0"/>
    <x v="3"/>
    <x v="10"/>
    <d v="2023-01-05T16:00:00"/>
    <d v="2023-01-05T17:00:00"/>
    <x v="1"/>
    <s v="Open Education Checkpoint"/>
  </r>
  <r>
    <x v="0"/>
    <x v="0"/>
    <x v="1"/>
    <d v="2023-01-09T09:15:00"/>
    <d v="2023-01-09T10:15:00"/>
    <x v="1"/>
    <s v="[GTM IpaaS] ignore Sales Enablement"/>
  </r>
  <r>
    <x v="0"/>
    <x v="0"/>
    <x v="1"/>
    <d v="2023-01-16T09:15:00"/>
    <d v="2023-01-16T10:15:00"/>
    <x v="1"/>
    <s v="[GTM IpaaS] ignore Sales Enablement"/>
  </r>
  <r>
    <x v="0"/>
    <x v="0"/>
    <x v="1"/>
    <d v="2023-01-25T16:00:00"/>
    <d v="2023-01-25T17:00:00"/>
    <x v="1"/>
    <s v="[GTM IpaaS] ignore Sales Enablement"/>
  </r>
  <r>
    <x v="2"/>
    <x v="3"/>
    <x v="7"/>
    <d v="2023-01-16T17:00:00"/>
    <d v="2023-01-16T18:00:00"/>
    <x v="4"/>
    <s v="[Keb Hana] PCM"/>
  </r>
  <r>
    <x v="1"/>
    <x v="2"/>
    <x v="3"/>
    <d v="2023-01-06T11:30:00"/>
    <d v="2023-01-06T12:00:00"/>
    <x v="7"/>
    <s v="[Sensedia] ignore OpenFinance ignore PCM (Plataforma de Coleta de Métricas)"/>
  </r>
  <r>
    <x v="2"/>
    <x v="3"/>
    <x v="7"/>
    <d v="2023-01-24T16:00:00"/>
    <d v="2023-01-24T16:30:00"/>
    <x v="6"/>
    <s v="[Keb Hana] PCM ignore Próximos passos"/>
  </r>
  <r>
    <x v="1"/>
    <x v="2"/>
    <x v="3"/>
    <d v="2023-01-06T12:00:00"/>
    <d v="2023-01-06T13:00:00"/>
    <x v="3"/>
    <s v="Out of office ignore Lunch Time"/>
  </r>
  <r>
    <x v="0"/>
    <x v="0"/>
    <x v="1"/>
    <d v="2023-01-06T14:30:00"/>
    <d v="2023-01-06T16:00:00"/>
    <x v="8"/>
    <s v="STM ignore vamos falar de iPaaS?"/>
  </r>
  <r>
    <x v="0"/>
    <x v="0"/>
    <x v="0"/>
    <d v="2023-01-06T16:00:00"/>
    <d v="2023-01-06T17:30:00"/>
    <x v="8"/>
    <s v="SMR + Celebration"/>
  </r>
  <r>
    <x v="1"/>
    <x v="2"/>
    <x v="3"/>
    <d v="2023-01-07T11:30:00"/>
    <d v="2023-01-07T12:00:00"/>
    <x v="7"/>
    <s v="[Sensedia] ignore OpenFinance ignore PCM (Plataforma de Coleta de Métricas)"/>
  </r>
  <r>
    <x v="1"/>
    <x v="2"/>
    <x v="3"/>
    <d v="2023-01-08T11:30:00"/>
    <d v="2023-01-08T12:00:00"/>
    <x v="7"/>
    <s v="[Sensedia] ignore OpenFinance ignore PCM (Plataforma de Coleta de Métricas)"/>
  </r>
  <r>
    <x v="0"/>
    <x v="0"/>
    <x v="0"/>
    <d v="2023-01-09T08:45:00"/>
    <d v="2023-01-09T09:15:00"/>
    <x v="5"/>
    <s v="Daily | Solutions Team"/>
  </r>
  <r>
    <x v="2"/>
    <x v="3"/>
    <x v="7"/>
    <d v="2023-01-05T14:00:00"/>
    <d v="2023-01-05T15:00:00"/>
    <x v="4"/>
    <s v="[Neon] Open Finance ignore PCM"/>
  </r>
  <r>
    <x v="0"/>
    <x v="3"/>
    <x v="8"/>
    <d v="2023-01-05T11:00:00"/>
    <d v="2023-01-05T12:00:00"/>
    <x v="4"/>
    <s v="[Open] Tribo ignore Acompanhamento semanal"/>
  </r>
  <r>
    <x v="0"/>
    <x v="3"/>
    <x v="8"/>
    <d v="2023-01-12T11:00:00"/>
    <d v="2023-01-12T12:00:00"/>
    <x v="4"/>
    <s v="[Open] Tribo ignore Acompanhamento semanal"/>
  </r>
  <r>
    <x v="1"/>
    <x v="2"/>
    <x v="3"/>
    <d v="2023-01-09T11:30:00"/>
    <d v="2023-01-09T12:00:00"/>
    <x v="7"/>
    <s v="[Sensedia] ignore OpenFinance ignore PCM (Plataforma de Coleta de Métricas)"/>
  </r>
  <r>
    <x v="0"/>
    <x v="1"/>
    <x v="2"/>
    <d v="2023-01-09T11:45:00"/>
    <d v="2023-01-09T12:00:00"/>
    <x v="2"/>
    <s v="1:1 Weekly ignore Roberta Prado / Flavio Nunes"/>
  </r>
  <r>
    <x v="1"/>
    <x v="2"/>
    <x v="3"/>
    <d v="2023-01-09T12:00:00"/>
    <d v="2023-01-09T13:00:00"/>
    <x v="3"/>
    <s v="Out of office ignore Lunch Time"/>
  </r>
  <r>
    <x v="0"/>
    <x v="3"/>
    <x v="8"/>
    <d v="2023-01-19T11:00:00"/>
    <d v="2023-01-19T12:00:00"/>
    <x v="4"/>
    <s v="[Open] Tribo ignore Acompanhamento semanal"/>
  </r>
  <r>
    <x v="0"/>
    <x v="1"/>
    <x v="4"/>
    <d v="2023-01-09T15:00:00"/>
    <d v="2023-01-09T16:00:00"/>
    <x v="4"/>
    <s v="Weekly ignore Business Unit ignore Finance &amp; Oil and Gas ignore Utilities"/>
  </r>
  <r>
    <x v="1"/>
    <x v="2"/>
    <x v="3"/>
    <d v="2023-01-09T17:00:00"/>
    <d v="2023-01-09T17:30:00"/>
    <x v="7"/>
    <s v="[Daily] OpenBanking"/>
  </r>
  <r>
    <x v="0"/>
    <x v="0"/>
    <x v="0"/>
    <d v="2023-01-10T08:45:00"/>
    <d v="2023-01-10T09:15:00"/>
    <x v="5"/>
    <s v="Daily | Solutions Team"/>
  </r>
  <r>
    <x v="0"/>
    <x v="1"/>
    <x v="2"/>
    <d v="2023-01-10T09:30:00"/>
    <d v="2023-01-10T10:00:00"/>
    <x v="5"/>
    <s v="[Sheila + Denise + Thiago] ignore Weekly "/>
  </r>
  <r>
    <x v="0"/>
    <x v="3"/>
    <x v="8"/>
    <d v="2023-01-26T11:00:00"/>
    <d v="2023-01-26T12:00:00"/>
    <x v="4"/>
    <s v="[Open] Tribo ignore Acompanhamento semanal"/>
  </r>
  <r>
    <x v="0"/>
    <x v="1"/>
    <x v="2"/>
    <d v="2023-01-10T11:30:00"/>
    <d v="2023-01-10T12:00:00"/>
    <x v="6"/>
    <s v="Flavio / Renan"/>
  </r>
  <r>
    <x v="1"/>
    <x v="2"/>
    <x v="3"/>
    <d v="2023-01-10T11:30:00"/>
    <d v="2023-01-10T12:00:00"/>
    <x v="7"/>
    <s v="[Sensedia] ignore OpenFinance ignore PCM (Plataforma de Coleta de Métricas)"/>
  </r>
  <r>
    <x v="1"/>
    <x v="2"/>
    <x v="3"/>
    <d v="2023-01-10T12:00:00"/>
    <d v="2023-01-10T13:00:00"/>
    <x v="3"/>
    <s v="Out of office ignore Lunch Time"/>
  </r>
  <r>
    <x v="1"/>
    <x v="2"/>
    <x v="3"/>
    <d v="2023-01-10T12:15:00"/>
    <d v="2023-01-10T13:15:00"/>
    <x v="3"/>
    <s v="English Class ignore Fluentia"/>
  </r>
  <r>
    <x v="3"/>
    <x v="3"/>
    <x v="10"/>
    <d v="2023-01-17T10:00:00"/>
    <d v="2023-01-17T10:30:00"/>
    <x v="6"/>
    <s v="[OpenEduc] Desenho de POC ignore Positivo"/>
  </r>
  <r>
    <x v="3"/>
    <x v="3"/>
    <x v="10"/>
    <d v="2023-01-30T13:30:00"/>
    <d v="2023-01-30T14:00:00"/>
    <x v="6"/>
    <s v="[Positivo] PoC OpenEdu"/>
  </r>
  <r>
    <x v="0"/>
    <x v="0"/>
    <x v="11"/>
    <d v="2023-01-10T14:30:00"/>
    <d v="2023-01-10T15:30:00"/>
    <x v="1"/>
    <s v="Product Feedback Meeting From Sales/Solutions"/>
  </r>
  <r>
    <x v="0"/>
    <x v="1"/>
    <x v="12"/>
    <d v="2023-01-16T13:30:00"/>
    <d v="2023-01-16T14:30:00"/>
    <x v="4"/>
    <s v="[Pre KickignoreOff] Business Tower"/>
  </r>
  <r>
    <x v="2"/>
    <x v="4"/>
    <x v="6"/>
    <d v="2023-01-23T14:00:00"/>
    <d v="2023-01-23T15:00:00"/>
    <x v="4"/>
    <s v="[Reserva] Alelo ignore Integração / Introspect IDM"/>
  </r>
  <r>
    <x v="0"/>
    <x v="0"/>
    <x v="0"/>
    <d v="2023-01-11T08:45:00"/>
    <d v="2023-01-11T09:15:00"/>
    <x v="5"/>
    <s v="Daily | Solutions Team"/>
  </r>
  <r>
    <x v="0"/>
    <x v="3"/>
    <x v="10"/>
    <d v="2023-01-17T16:00:00"/>
    <d v="2023-01-17T16:45:00"/>
    <x v="9"/>
    <s v="[Reserva] Papo Open Education"/>
  </r>
  <r>
    <x v="3"/>
    <x v="3"/>
    <x v="7"/>
    <d v="2023-01-10T13:30:00"/>
    <d v="2023-01-10T14:00:00"/>
    <x v="6"/>
    <s v="[Senff] ignore Dúvidas PCM"/>
  </r>
  <r>
    <x v="0"/>
    <x v="3"/>
    <x v="8"/>
    <d v="2023-01-11T11:00:00"/>
    <d v="2023-01-11T11:30:00"/>
    <x v="5"/>
    <s v="Open Finance Strat Sync"/>
  </r>
  <r>
    <x v="1"/>
    <x v="2"/>
    <x v="3"/>
    <d v="2023-01-11T11:30:00"/>
    <d v="2023-01-11T12:00:00"/>
    <x v="7"/>
    <s v="[Sensedia] ignore OpenFinance ignore PCM (Plataforma de Coleta de Métricas)"/>
  </r>
  <r>
    <x v="1"/>
    <x v="2"/>
    <x v="3"/>
    <d v="2023-01-11T11:30:00"/>
    <d v="2023-01-11T12:00:00"/>
    <x v="7"/>
    <s v="[PAGSEGURO] Recorrencia semanal."/>
  </r>
  <r>
    <x v="1"/>
    <x v="2"/>
    <x v="3"/>
    <d v="2023-01-11T12:00:00"/>
    <d v="2023-01-11T13:00:00"/>
    <x v="3"/>
    <s v="Out of office ignore Lunch Time"/>
  </r>
  <r>
    <x v="3"/>
    <x v="4"/>
    <x v="6"/>
    <d v="2023-01-03T11:00:00"/>
    <d v="2023-01-03T12:00:00"/>
    <x v="4"/>
    <s v="[SENSEDIA] Bate Papo"/>
  </r>
  <r>
    <x v="0"/>
    <x v="3"/>
    <x v="5"/>
    <d v="2023-01-11T14:00:00"/>
    <d v="2023-01-11T14:30:00"/>
    <x v="5"/>
    <s v="Papo s/ Café da Manhã c/ Especialista Mercado Livre de Energia"/>
  </r>
  <r>
    <x v="3"/>
    <x v="4"/>
    <x v="6"/>
    <d v="2023-01-25T11:30:00"/>
    <d v="2023-01-25T12:00:00"/>
    <x v="6"/>
    <s v="[Sensedia] Renan Hugenneyer de Matos and Rodrigo Abreu"/>
  </r>
  <r>
    <x v="0"/>
    <x v="0"/>
    <x v="13"/>
    <d v="2023-01-06T11:00:00"/>
    <d v="2023-01-06T12:00:00"/>
    <x v="4"/>
    <s v="[SulAmerica Company’s case] English Presentation"/>
  </r>
  <r>
    <x v="3"/>
    <x v="4"/>
    <x v="6"/>
    <d v="2023-01-16T15:00:00"/>
    <d v="2023-01-16T15:30:00"/>
    <x v="6"/>
    <s v="[The Bakery] Alinhamento Solutions"/>
  </r>
  <r>
    <x v="0"/>
    <x v="0"/>
    <x v="0"/>
    <d v="2023-01-12T08:45:00"/>
    <d v="2023-01-12T09:15:00"/>
    <x v="5"/>
    <s v="Daily | Solutions Team"/>
  </r>
  <r>
    <x v="2"/>
    <x v="4"/>
    <x v="6"/>
    <d v="2023-01-06T10:00:00"/>
    <d v="2023-01-06T10:30:00"/>
    <x v="6"/>
    <s v="[Uniprime Central] Reserva #2"/>
  </r>
  <r>
    <x v="2"/>
    <x v="4"/>
    <x v="6"/>
    <d v="2023-01-11T09:30:00"/>
    <d v="2023-01-11T10:00:00"/>
    <x v="5"/>
    <s v="[Volvo] Alinhamento interno"/>
  </r>
  <r>
    <x v="1"/>
    <x v="2"/>
    <x v="3"/>
    <d v="2023-01-12T11:30:00"/>
    <d v="2023-01-12T12:00:00"/>
    <x v="7"/>
    <s v="[Sensedia] ignore OpenFinance ignore PCM (Plataforma de Coleta de Métricas)"/>
  </r>
  <r>
    <x v="1"/>
    <x v="2"/>
    <x v="3"/>
    <d v="2023-01-12T12:00:00"/>
    <d v="2023-01-12T13:00:00"/>
    <x v="3"/>
    <s v="Out of office ignore Lunch Time"/>
  </r>
  <r>
    <x v="1"/>
    <x v="2"/>
    <x v="3"/>
    <d v="2023-01-12T12:15:00"/>
    <d v="2023-01-12T13:15:00"/>
    <x v="3"/>
    <s v="English Class ignore Fluentia"/>
  </r>
  <r>
    <x v="0"/>
    <x v="0"/>
    <x v="14"/>
    <d v="2023-01-12T14:00:00"/>
    <d v="2023-01-12T14:30:00"/>
    <x v="5"/>
    <s v="1:1 Flavio Nunes / Rafael"/>
  </r>
  <r>
    <x v="2"/>
    <x v="4"/>
    <x v="6"/>
    <d v="2023-01-30T14:00:00"/>
    <d v="2023-01-30T15:00:00"/>
    <x v="4"/>
    <s v="[VR] Alinhamento Gateway"/>
  </r>
  <r>
    <x v="0"/>
    <x v="3"/>
    <x v="10"/>
    <d v="2023-01-12T16:00:00"/>
    <d v="2023-01-12T17:00:00"/>
    <x v="1"/>
    <s v="Open Education Checkpoint"/>
  </r>
  <r>
    <x v="3"/>
    <x v="4"/>
    <x v="6"/>
    <d v="2023-01-10T10:00:00"/>
    <d v="2023-01-10T12:00:00"/>
    <x v="10"/>
    <s v="Agenda Presencial ignore QMC Telecom"/>
  </r>
  <r>
    <x v="3"/>
    <x v="5"/>
    <x v="6"/>
    <d v="2023-01-11T10:00:00"/>
    <d v="2023-01-11T11:00:00"/>
    <x v="1"/>
    <s v="AGL &amp; Sensedia"/>
  </r>
  <r>
    <x v="0"/>
    <x v="0"/>
    <x v="1"/>
    <d v="2023-01-13T08:00:00"/>
    <d v="2023-01-13T09:00:00"/>
    <x v="4"/>
    <s v="Checkpoint GTM iPaaS"/>
  </r>
  <r>
    <x v="1"/>
    <x v="2"/>
    <x v="3"/>
    <d v="2023-01-13T11:30:00"/>
    <d v="2023-01-13T12:00:00"/>
    <x v="7"/>
    <s v="[Sensedia] ignore OpenFinance ignore PCM (Plataforma de Coleta de Métricas)"/>
  </r>
  <r>
    <x v="1"/>
    <x v="2"/>
    <x v="3"/>
    <d v="2023-01-13T12:00:00"/>
    <d v="2023-01-13T13:00:00"/>
    <x v="3"/>
    <s v="Out of office ignore Lunch Time"/>
  </r>
  <r>
    <x v="2"/>
    <x v="4"/>
    <x v="6"/>
    <d v="2023-01-10T13:00:00"/>
    <d v="2023-01-10T14:00:00"/>
    <x v="1"/>
    <s v="Alelo &lt;&gt;Sensedia"/>
  </r>
  <r>
    <x v="0"/>
    <x v="0"/>
    <x v="15"/>
    <d v="2023-01-13T13:30:00"/>
    <d v="2023-01-13T16:00:00"/>
    <x v="11"/>
    <s v="Solutions &amp; Sensedia StratPlan 2023"/>
  </r>
  <r>
    <x v="2"/>
    <x v="4"/>
    <x v="6"/>
    <d v="2023-01-17T13:00:00"/>
    <d v="2023-01-17T14:00:00"/>
    <x v="1"/>
    <s v="Alelo &lt;&gt;Sensedia"/>
  </r>
  <r>
    <x v="2"/>
    <x v="4"/>
    <x v="6"/>
    <d v="2023-01-18T10:00:00"/>
    <d v="2023-01-18T11:00:00"/>
    <x v="1"/>
    <s v="Alelo ignore papo interno sobre Peering"/>
  </r>
  <r>
    <x v="1"/>
    <x v="2"/>
    <x v="3"/>
    <d v="2023-01-14T11:30:00"/>
    <d v="2023-01-14T12:00:00"/>
    <x v="7"/>
    <s v="[Sensedia] ignore OpenFinance ignore PCM (Plataforma de Coleta de Métricas)"/>
  </r>
  <r>
    <x v="1"/>
    <x v="2"/>
    <x v="3"/>
    <d v="2023-01-15T11:30:00"/>
    <d v="2023-01-15T12:00:00"/>
    <x v="7"/>
    <s v="[Sensedia] ignore OpenFinance ignore PCM (Plataforma de Coleta de Métricas)"/>
  </r>
  <r>
    <x v="0"/>
    <x v="0"/>
    <x v="0"/>
    <d v="2023-01-16T08:45:00"/>
    <d v="2023-01-16T09:15:00"/>
    <x v="5"/>
    <s v="Daily | Solutions Team"/>
  </r>
  <r>
    <x v="0"/>
    <x v="6"/>
    <x v="6"/>
    <d v="2023-01-20T15:00:00"/>
    <d v="2023-01-20T15:15:00"/>
    <x v="2"/>
    <s v="Alinhamento"/>
  </r>
  <r>
    <x v="2"/>
    <x v="4"/>
    <x v="6"/>
    <d v="2023-01-24T13:30:00"/>
    <d v="2023-01-24T14:00:00"/>
    <x v="6"/>
    <s v="Alinhamento Cardif"/>
  </r>
  <r>
    <x v="3"/>
    <x v="4"/>
    <x v="6"/>
    <d v="2023-01-06T10:30:00"/>
    <d v="2023-01-06T11:30:00"/>
    <x v="4"/>
    <s v="Alinhamento Concremat"/>
  </r>
  <r>
    <x v="1"/>
    <x v="2"/>
    <x v="3"/>
    <d v="2023-01-16T11:30:00"/>
    <d v="2023-01-16T12:00:00"/>
    <x v="7"/>
    <s v="[Sensedia] ignore OpenFinance ignore PCM (Plataforma de Coleta de Métricas)"/>
  </r>
  <r>
    <x v="0"/>
    <x v="1"/>
    <x v="2"/>
    <d v="2023-01-16T11:45:00"/>
    <d v="2023-01-16T12:00:00"/>
    <x v="2"/>
    <s v="1:1 Weekly ignore Roberta Prado / Flavio Nunes"/>
  </r>
  <r>
    <x v="1"/>
    <x v="2"/>
    <x v="3"/>
    <d v="2023-01-16T12:00:00"/>
    <d v="2023-01-16T13:00:00"/>
    <x v="3"/>
    <s v="Out of office ignore Lunch Time"/>
  </r>
  <r>
    <x v="3"/>
    <x v="4"/>
    <x v="6"/>
    <d v="2023-01-03T14:00:00"/>
    <d v="2023-01-03T14:30:00"/>
    <x v="5"/>
    <s v="alinhamento CPFL"/>
  </r>
  <r>
    <x v="2"/>
    <x v="4"/>
    <x v="6"/>
    <d v="2023-01-11T17:00:00"/>
    <d v="2023-01-11T17:30:00"/>
    <x v="5"/>
    <s v="Alinhamento da Alelo"/>
  </r>
  <r>
    <x v="0"/>
    <x v="5"/>
    <x v="6"/>
    <d v="2023-01-19T09:30:00"/>
    <d v="2023-01-19T10:00:00"/>
    <x v="5"/>
    <s v="Alinhamento Oportunidades Parcerias (The Bakery, Fabricas de Software, outras)"/>
  </r>
  <r>
    <x v="0"/>
    <x v="1"/>
    <x v="2"/>
    <d v="2023-01-16T18:00:00"/>
    <d v="2023-01-16T19:00:00"/>
    <x v="4"/>
    <s v="Flavio Nunes / Roberta Prado"/>
  </r>
  <r>
    <x v="0"/>
    <x v="0"/>
    <x v="0"/>
    <d v="2023-01-17T08:45:00"/>
    <d v="2023-01-17T09:15:00"/>
    <x v="5"/>
    <s v="Daily | Solutions Team"/>
  </r>
  <r>
    <x v="0"/>
    <x v="0"/>
    <x v="1"/>
    <d v="2023-01-18T09:30:00"/>
    <d v="2023-01-18T10:00:00"/>
    <x v="5"/>
    <s v="Alinhamento Opps Service Mesh"/>
  </r>
  <r>
    <x v="0"/>
    <x v="0"/>
    <x v="16"/>
    <d v="2023-01-17T15:30:00"/>
    <d v="2023-01-17T16:00:00"/>
    <x v="5"/>
    <s v="APIX 23 | Demo Presentations"/>
  </r>
  <r>
    <x v="0"/>
    <x v="3"/>
    <x v="8"/>
    <d v="2023-01-17T10:00:00"/>
    <d v="2023-01-17T11:30:00"/>
    <x v="8"/>
    <s v="Open Tribe ignore Product Review"/>
  </r>
  <r>
    <x v="2"/>
    <x v="3"/>
    <x v="7"/>
    <d v="2023-01-05T17:00:00"/>
    <d v="2023-01-05T18:00:00"/>
    <x v="4"/>
    <s v="Apresentação PCM ignore Omni Banco"/>
  </r>
  <r>
    <x v="0"/>
    <x v="1"/>
    <x v="2"/>
    <d v="2023-01-17T11:30:00"/>
    <d v="2023-01-17T12:00:00"/>
    <x v="6"/>
    <s v="Flavio / Renan"/>
  </r>
  <r>
    <x v="1"/>
    <x v="2"/>
    <x v="3"/>
    <d v="2023-01-17T11:30:00"/>
    <d v="2023-01-17T12:00:00"/>
    <x v="7"/>
    <s v="[Sensedia] ignore OpenFinance ignore PCM (Plataforma de Coleta de Métricas)"/>
  </r>
  <r>
    <x v="1"/>
    <x v="2"/>
    <x v="3"/>
    <d v="2023-01-17T12:00:00"/>
    <d v="2023-01-17T13:00:00"/>
    <x v="3"/>
    <s v="Out of office ignore Lunch Time"/>
  </r>
  <r>
    <x v="1"/>
    <x v="2"/>
    <x v="3"/>
    <d v="2023-01-17T12:15:00"/>
    <d v="2023-01-17T13:15:00"/>
    <x v="3"/>
    <s v="English Class ignore Fluentia"/>
  </r>
  <r>
    <x v="2"/>
    <x v="3"/>
    <x v="7"/>
    <d v="2023-01-19T15:00:00"/>
    <d v="2023-01-19T16:00:00"/>
    <x v="4"/>
    <s v="Apresentação PCM ignore Wooribank"/>
  </r>
  <r>
    <x v="0"/>
    <x v="0"/>
    <x v="14"/>
    <d v="2023-01-17T13:30:00"/>
    <d v="2023-01-17T14:00:00"/>
    <x v="6"/>
    <s v="1:1 Flavio Nunes / Rafael"/>
  </r>
  <r>
    <x v="0"/>
    <x v="0"/>
    <x v="11"/>
    <d v="2023-01-17T14:00:00"/>
    <d v="2023-01-17T15:30:00"/>
    <x v="8"/>
    <s v="Solutions 2023 ignore vamos repensar nosso modus operandi?"/>
  </r>
  <r>
    <x v="2"/>
    <x v="3"/>
    <x v="10"/>
    <d v="2023-01-31T16:00:00"/>
    <d v="2023-01-31T17:00:00"/>
    <x v="1"/>
    <s v="Apresentação POC Positivo"/>
  </r>
  <r>
    <x v="2"/>
    <x v="3"/>
    <x v="7"/>
    <d v="2023-01-12T16:00:00"/>
    <d v="2023-01-12T17:00:00"/>
    <x v="1"/>
    <s v="Apresentação Proposta PCM ignore Omni Banco"/>
  </r>
  <r>
    <x v="3"/>
    <x v="4"/>
    <x v="6"/>
    <d v="2023-01-11T16:00:00"/>
    <d v="2023-01-11T17:00:00"/>
    <x v="1"/>
    <s v="Apresentação Sensediaignore Total Energies"/>
  </r>
  <r>
    <x v="0"/>
    <x v="0"/>
    <x v="0"/>
    <d v="2023-01-18T08:45:00"/>
    <d v="2023-01-18T09:15:00"/>
    <x v="5"/>
    <s v="Daily | Solutions Team"/>
  </r>
  <r>
    <x v="0"/>
    <x v="3"/>
    <x v="10"/>
    <d v="2023-01-24T15:00:00"/>
    <d v="2023-01-24T15:45:00"/>
    <x v="9"/>
    <s v="AWS &amp; Sensedia ignore Educação"/>
  </r>
  <r>
    <x v="0"/>
    <x v="3"/>
    <x v="10"/>
    <d v="2023-01-24T15:00:00"/>
    <d v="2023-01-24T15:45:00"/>
    <x v="9"/>
    <s v="AWS &amp; Sensedia ignore Educação"/>
  </r>
  <r>
    <x v="0"/>
    <x v="3"/>
    <x v="8"/>
    <d v="2023-01-18T11:00:00"/>
    <d v="2023-01-18T11:30:00"/>
    <x v="5"/>
    <s v="Open Finance Strat Sync"/>
  </r>
  <r>
    <x v="0"/>
    <x v="1"/>
    <x v="2"/>
    <d v="2023-01-18T11:30:00"/>
    <d v="2023-01-18T12:00:00"/>
    <x v="6"/>
    <s v="[Sheila + Denise + Thiago] ignore Weekly "/>
  </r>
  <r>
    <x v="1"/>
    <x v="2"/>
    <x v="3"/>
    <d v="2023-01-18T11:30:00"/>
    <d v="2023-01-18T12:00:00"/>
    <x v="7"/>
    <s v="[Sensedia] ignore OpenFinance ignore PCM (Plataforma de Coleta de Métricas)"/>
  </r>
  <r>
    <x v="1"/>
    <x v="2"/>
    <x v="3"/>
    <d v="2023-01-18T11:30:00"/>
    <d v="2023-01-18T12:00:00"/>
    <x v="7"/>
    <s v="[PAGSEGURO] Recorrencia semanal."/>
  </r>
  <r>
    <x v="1"/>
    <x v="2"/>
    <x v="3"/>
    <d v="2023-01-18T12:00:00"/>
    <d v="2023-01-18T13:00:00"/>
    <x v="3"/>
    <s v="Out of office ignore Lunch Time"/>
  </r>
  <r>
    <x v="2"/>
    <x v="4"/>
    <x v="6"/>
    <d v="2023-01-25T12:00:00"/>
    <d v="2023-01-25T13:00:00"/>
    <x v="4"/>
    <s v="bakery"/>
  </r>
  <r>
    <x v="2"/>
    <x v="4"/>
    <x v="6"/>
    <d v="2023-01-27T10:30:00"/>
    <d v="2023-01-27T11:30:00"/>
    <x v="4"/>
    <s v="Bakery ignore Teste Gravação"/>
  </r>
  <r>
    <x v="2"/>
    <x v="4"/>
    <x v="6"/>
    <d v="2023-01-16T11:00:00"/>
    <d v="2023-01-16T12:00:00"/>
    <x v="4"/>
    <s v="Banestes/Sensedia enriquecimento de dados Open Banking"/>
  </r>
  <r>
    <x v="0"/>
    <x v="0"/>
    <x v="1"/>
    <d v="2023-01-31T10:30:00"/>
    <d v="2023-01-31T11:30:00"/>
    <x v="4"/>
    <s v="Bate Papo ignore Mesh"/>
  </r>
  <r>
    <x v="0"/>
    <x v="1"/>
    <x v="2"/>
    <d v="2023-01-18T16:30:00"/>
    <d v="2023-01-18T17:00:00"/>
    <x v="6"/>
    <s v="Flavio Nunes / Renan"/>
  </r>
  <r>
    <x v="0"/>
    <x v="0"/>
    <x v="1"/>
    <d v="2023-01-18T16:30:00"/>
    <d v="2023-01-18T17:00:00"/>
    <x v="6"/>
    <s v="Bate Papo ignore PT Mesh"/>
  </r>
  <r>
    <x v="0"/>
    <x v="0"/>
    <x v="0"/>
    <d v="2023-01-19T08:45:00"/>
    <d v="2023-01-19T09:15:00"/>
    <x v="5"/>
    <s v="Daily | Solutions Team"/>
  </r>
  <r>
    <x v="3"/>
    <x v="0"/>
    <x v="1"/>
    <d v="2023-01-05T10:00:00"/>
    <d v="2023-01-05T10:45:00"/>
    <x v="9"/>
    <s v="C6 ignore Mesh "/>
  </r>
  <r>
    <x v="2"/>
    <x v="4"/>
    <x v="6"/>
    <d v="2023-01-31T17:00:00"/>
    <d v="2023-01-31T17:30:00"/>
    <x v="5"/>
    <s v="Cardif"/>
  </r>
  <r>
    <x v="2"/>
    <x v="4"/>
    <x v="6"/>
    <d v="2023-01-26T17:00:00"/>
    <d v="2023-01-26T17:30:00"/>
    <x v="5"/>
    <s v="Cardif ignore Alinhamento Proposta ignore Arthur"/>
  </r>
  <r>
    <x v="0"/>
    <x v="2"/>
    <x v="3"/>
    <d v="2023-01-19T11:00:00"/>
    <d v="2023-01-19T12:00:00"/>
    <x v="12"/>
    <s v="API Management Tribe ignore Product Review"/>
  </r>
  <r>
    <x v="1"/>
    <x v="2"/>
    <x v="3"/>
    <d v="2023-01-19T11:30:00"/>
    <d v="2023-01-19T12:00:00"/>
    <x v="7"/>
    <s v="[Sensedia] ignore OpenFinance ignore PCM (Plataforma de Coleta de Métricas)"/>
  </r>
  <r>
    <x v="1"/>
    <x v="2"/>
    <x v="3"/>
    <d v="2023-01-19T12:00:00"/>
    <d v="2023-01-19T13:00:00"/>
    <x v="3"/>
    <s v="Out of office ignore Lunch Time"/>
  </r>
  <r>
    <x v="1"/>
    <x v="2"/>
    <x v="3"/>
    <d v="2023-01-19T12:15:00"/>
    <d v="2023-01-19T13:15:00"/>
    <x v="3"/>
    <s v="English Class ignore Fluentia"/>
  </r>
  <r>
    <x v="2"/>
    <x v="4"/>
    <x v="6"/>
    <d v="2023-01-13T17:30:00"/>
    <d v="2023-01-13T19:00:00"/>
    <x v="8"/>
    <s v="CARDIF ignore ESTRATÉGIA APRESENTAÇÃO DE QUARTA 18/01"/>
  </r>
  <r>
    <x v="3"/>
    <x v="4"/>
    <x v="6"/>
    <d v="2023-01-31T16:00:00"/>
    <d v="2023-01-31T17:00:00"/>
    <x v="1"/>
    <s v="Conversa | Neurotech + Sensedia"/>
  </r>
  <r>
    <x v="0"/>
    <x v="3"/>
    <x v="10"/>
    <d v="2023-01-19T16:00:00"/>
    <d v="2023-01-19T17:00:00"/>
    <x v="1"/>
    <s v="Open Education Checkpoint"/>
  </r>
  <r>
    <x v="2"/>
    <x v="4"/>
    <x v="6"/>
    <d v="2023-01-17T17:00:00"/>
    <d v="2023-01-17T18:00:00"/>
    <x v="4"/>
    <s v="Conversa | The Bakery + Sensedia"/>
  </r>
  <r>
    <x v="0"/>
    <x v="1"/>
    <x v="12"/>
    <d v="2023-01-20T09:00:00"/>
    <d v="2023-01-20T11:00:00"/>
    <x v="10"/>
    <s v="BR Sales ignore Alinhamento Semanal"/>
  </r>
  <r>
    <x v="2"/>
    <x v="4"/>
    <x v="6"/>
    <d v="2023-01-18T13:00:00"/>
    <d v="2023-01-18T14:00:00"/>
    <x v="1"/>
    <s v="Deslocamento Agenda Neon"/>
  </r>
  <r>
    <x v="2"/>
    <x v="4"/>
    <x v="6"/>
    <d v="2023-01-18T16:00:00"/>
    <d v="2023-01-18T16:30:00"/>
    <x v="6"/>
    <s v="Deslocamento Agenda Neon"/>
  </r>
  <r>
    <x v="0"/>
    <x v="7"/>
    <x v="17"/>
    <d v="2023-01-20T11:00:00"/>
    <d v="2023-01-20T12:00:00"/>
    <x v="4"/>
    <s v="WGO Vibrant Culture"/>
  </r>
  <r>
    <x v="1"/>
    <x v="2"/>
    <x v="3"/>
    <d v="2023-01-20T11:30:00"/>
    <d v="2023-01-20T12:00:00"/>
    <x v="7"/>
    <s v="[Sensedia] ignore OpenFinance ignore PCM (Plataforma de Coleta de Métricas)"/>
  </r>
  <r>
    <x v="1"/>
    <x v="2"/>
    <x v="3"/>
    <d v="2023-01-20T12:00:00"/>
    <d v="2023-01-20T13:00:00"/>
    <x v="3"/>
    <s v="Out of office ignore Lunch Time"/>
  </r>
  <r>
    <x v="0"/>
    <x v="0"/>
    <x v="16"/>
    <d v="2023-01-20T13:30:00"/>
    <d v="2023-01-20T15:00:00"/>
    <x v="8"/>
    <s v="Solution Tech Meetings ignore Service Mesh"/>
  </r>
  <r>
    <x v="3"/>
    <x v="4"/>
    <x v="6"/>
    <d v="2023-01-19T10:00:00"/>
    <d v="2023-01-19T12:00:00"/>
    <x v="10"/>
    <s v="ENC: RFP ignore Nova Fábrica de Software V.tal"/>
  </r>
  <r>
    <x v="1"/>
    <x v="2"/>
    <x v="3"/>
    <d v="2023-01-20T16:00:00"/>
    <d v="2023-01-20T16:30:00"/>
    <x v="7"/>
    <s v="[Daily] OpenBanking"/>
  </r>
  <r>
    <x v="1"/>
    <x v="2"/>
    <x v="3"/>
    <d v="2023-01-21T11:30:00"/>
    <d v="2023-01-21T12:00:00"/>
    <x v="7"/>
    <s v="[Sensedia] ignore OpenFinance ignore PCM (Plataforma de Coleta de Métricas)"/>
  </r>
  <r>
    <x v="1"/>
    <x v="2"/>
    <x v="3"/>
    <d v="2023-01-22T11:30:00"/>
    <d v="2023-01-22T12:00:00"/>
    <x v="7"/>
    <s v="[Sensedia] ignore OpenFinance ignore PCM (Plataforma de Coleta de Métricas)"/>
  </r>
  <r>
    <x v="0"/>
    <x v="0"/>
    <x v="0"/>
    <d v="2023-01-23T08:45:00"/>
    <d v="2023-01-23T09:15:00"/>
    <x v="5"/>
    <s v="Daily | Solutions Team"/>
  </r>
  <r>
    <x v="3"/>
    <x v="3"/>
    <x v="10"/>
    <d v="2023-01-09T14:00:00"/>
    <d v="2023-01-09T15:00:00"/>
    <x v="4"/>
    <s v="Estrutura da Apresentação Cogna &amp; Sensedia"/>
  </r>
  <r>
    <x v="0"/>
    <x v="0"/>
    <x v="1"/>
    <d v="2023-01-17T09:00:00"/>
    <d v="2023-01-17T10:00:00"/>
    <x v="4"/>
    <s v="Feedback iPaaS ignore Connectors"/>
  </r>
  <r>
    <x v="1"/>
    <x v="2"/>
    <x v="3"/>
    <d v="2023-01-23T11:30:00"/>
    <d v="2023-01-23T12:00:00"/>
    <x v="7"/>
    <s v="[Sensedia] ignore OpenFinance ignore PCM (Plataforma de Coleta de Métricas)"/>
  </r>
  <r>
    <x v="1"/>
    <x v="2"/>
    <x v="3"/>
    <d v="2023-01-23T12:00:00"/>
    <d v="2023-01-23T13:30:00"/>
    <x v="13"/>
    <s v="Out of office ignore Lunch Time"/>
  </r>
  <r>
    <x v="0"/>
    <x v="4"/>
    <x v="6"/>
    <d v="2023-01-20T10:15:00"/>
    <d v="2023-01-20T12:00:00"/>
    <x v="14"/>
    <s v="Focus Time"/>
  </r>
  <r>
    <x v="0"/>
    <x v="1"/>
    <x v="4"/>
    <d v="2023-01-23T15:00:00"/>
    <d v="2023-01-23T16:00:00"/>
    <x v="4"/>
    <s v="Weekly ignore Business Unit ignore Finance &amp; Oil and Gas ignore Utilities"/>
  </r>
  <r>
    <x v="0"/>
    <x v="1"/>
    <x v="2"/>
    <d v="2023-01-23T16:00:00"/>
    <d v="2023-01-23T17:00:00"/>
    <x v="1"/>
    <s v="Flavio Nunes / Renan"/>
  </r>
  <r>
    <x v="2"/>
    <x v="4"/>
    <x v="6"/>
    <d v="2023-01-25T09:30:00"/>
    <d v="2023-01-25T11:00:00"/>
    <x v="8"/>
    <s v="Focus time ignore Desenho Arquitetura The Bakery"/>
  </r>
  <r>
    <x v="0"/>
    <x v="1"/>
    <x v="2"/>
    <d v="2023-01-23T17:30:00"/>
    <d v="2023-01-23T17:45:00"/>
    <x v="15"/>
    <s v="1:1 Weekly ignore Roberta Prado / Flavio Nunes"/>
  </r>
  <r>
    <x v="0"/>
    <x v="0"/>
    <x v="0"/>
    <d v="2023-01-24T08:45:00"/>
    <d v="2023-01-24T09:15:00"/>
    <x v="5"/>
    <s v="Daily | Solutions Team"/>
  </r>
  <r>
    <x v="0"/>
    <x v="1"/>
    <x v="2"/>
    <d v="2023-01-24T09:30:00"/>
    <d v="2023-01-24T10:00:00"/>
    <x v="5"/>
    <s v="[Sheila + Denise + Thiago] ignore Weekly "/>
  </r>
  <r>
    <x v="0"/>
    <x v="0"/>
    <x v="16"/>
    <d v="2023-01-24T09:30:00"/>
    <d v="2023-01-24T09:45:00"/>
    <x v="2"/>
    <s v="Thiago / Flavio Nunes ignore Alinhamento Workshop"/>
  </r>
  <r>
    <x v="3"/>
    <x v="4"/>
    <x v="6"/>
    <d v="2023-01-24T15:30:00"/>
    <d v="2023-01-24T17:30:00"/>
    <x v="16"/>
    <s v="Focus time ignore Propostas"/>
  </r>
  <r>
    <x v="3"/>
    <x v="5"/>
    <x v="6"/>
    <d v="2023-01-12T10:00:00"/>
    <d v="2023-01-12T11:00:00"/>
    <x v="1"/>
    <s v="Geradorde Devs I Partner Sensedia"/>
  </r>
  <r>
    <x v="1"/>
    <x v="2"/>
    <x v="3"/>
    <d v="2023-01-24T11:30:00"/>
    <d v="2023-01-24T12:00:00"/>
    <x v="7"/>
    <s v="[Sensedia] ignore OpenFinance ignore PCM (Plataforma de Coleta de Métricas)"/>
  </r>
  <r>
    <x v="1"/>
    <x v="2"/>
    <x v="3"/>
    <d v="2023-01-24T12:00:00"/>
    <d v="2023-01-24T13:30:00"/>
    <x v="13"/>
    <s v="Out of office ignore Lunch Time"/>
  </r>
  <r>
    <x v="1"/>
    <x v="2"/>
    <x v="3"/>
    <d v="2023-01-24T12:15:00"/>
    <d v="2023-01-24T13:15:00"/>
    <x v="3"/>
    <s v="English Class ignore Fluentia"/>
  </r>
  <r>
    <x v="0"/>
    <x v="3"/>
    <x v="10"/>
    <d v="2023-01-09T10:30:00"/>
    <d v="2023-01-09T11:30:00"/>
    <x v="4"/>
    <s v="Grupo de Trabalho Open Education ignore check point quinzenal"/>
  </r>
  <r>
    <x v="0"/>
    <x v="1"/>
    <x v="2"/>
    <d v="2023-01-24T14:00:00"/>
    <d v="2023-01-24T14:30:00"/>
    <x v="5"/>
    <s v="Flavio / Renan"/>
  </r>
  <r>
    <x v="0"/>
    <x v="0"/>
    <x v="11"/>
    <d v="2023-01-24T14:30:00"/>
    <d v="2023-01-24T15:30:00"/>
    <x v="1"/>
    <s v="Product Feedback Meeting From Sales/Solutions"/>
  </r>
  <r>
    <x v="0"/>
    <x v="3"/>
    <x v="10"/>
    <d v="2023-01-23T10:30:00"/>
    <d v="2023-01-23T11:30:00"/>
    <x v="4"/>
    <s v="Grupo de Trabalho Open Education ignore check point quinzenal"/>
  </r>
  <r>
    <x v="2"/>
    <x v="3"/>
    <x v="8"/>
    <d v="2023-01-13T13:00:00"/>
    <d v="2023-01-13T14:00:00"/>
    <x v="1"/>
    <s v="HSBC | Sinqia/Sensedia: Reunião voltada ao open banking"/>
  </r>
  <r>
    <x v="3"/>
    <x v="4"/>
    <x v="6"/>
    <d v="2023-01-30T10:00:00"/>
    <d v="2023-01-30T11:00:00"/>
    <x v="1"/>
    <s v="ICONIC + SENSEDIA"/>
  </r>
  <r>
    <x v="0"/>
    <x v="0"/>
    <x v="1"/>
    <d v="2023-01-03T16:00:00"/>
    <d v="2023-01-03T17:00:00"/>
    <x v="1"/>
    <s v="iPaaS Enablement ignore Alinhamento sobre objetivos e metas"/>
  </r>
  <r>
    <x v="0"/>
    <x v="0"/>
    <x v="16"/>
    <d v="2023-01-25T08:00:00"/>
    <d v="2023-01-25T08:45:00"/>
    <x v="9"/>
    <s v=" Solutions Workshop (Flavio)"/>
  </r>
  <r>
    <x v="0"/>
    <x v="0"/>
    <x v="0"/>
    <d v="2023-01-25T08:45:00"/>
    <d v="2023-01-25T09:15:00"/>
    <x v="5"/>
    <s v="Daily | Solutions Team"/>
  </r>
  <r>
    <x v="0"/>
    <x v="0"/>
    <x v="18"/>
    <d v="2023-01-25T09:15:00"/>
    <d v="2023-01-25T09:45:00"/>
    <x v="6"/>
    <s v="Flavio/ Joao 1:1"/>
  </r>
  <r>
    <x v="0"/>
    <x v="4"/>
    <x v="6"/>
    <d v="2023-01-23T17:00:00"/>
    <d v="2023-01-23T17:30:00"/>
    <x v="5"/>
    <s v="Leonardo Americo / Flavio Nunes ignore Alinhamento PagSeguro e Travelex"/>
  </r>
  <r>
    <x v="0"/>
    <x v="3"/>
    <x v="8"/>
    <d v="2023-01-25T11:00:00"/>
    <d v="2023-01-25T11:30:00"/>
    <x v="5"/>
    <s v="Open Finance Strat Sync"/>
  </r>
  <r>
    <x v="1"/>
    <x v="2"/>
    <x v="3"/>
    <d v="2023-01-25T11:30:00"/>
    <d v="2023-01-25T12:00:00"/>
    <x v="7"/>
    <s v="[Sensedia] ignore OpenFinance ignore PCM (Plataforma de Coleta de Métricas)"/>
  </r>
  <r>
    <x v="0"/>
    <x v="0"/>
    <x v="1"/>
    <d v="2023-01-18T14:00:00"/>
    <d v="2023-01-18T14:15:00"/>
    <x v="2"/>
    <s v="Mencionar Piloto Service Mesh ignore JCA Holding"/>
  </r>
  <r>
    <x v="1"/>
    <x v="2"/>
    <x v="3"/>
    <d v="2023-01-25T11:30:00"/>
    <d v="2023-01-25T12:00:00"/>
    <x v="7"/>
    <s v="[PAGSEGURO] Recorrencia semanal."/>
  </r>
  <r>
    <x v="1"/>
    <x v="2"/>
    <x v="3"/>
    <d v="2023-01-25T12:00:00"/>
    <d v="2023-01-25T16:00:00"/>
    <x v="17"/>
    <s v="Out of office ignore Banco de Horas ignore Feriado SP"/>
  </r>
  <r>
    <x v="1"/>
    <x v="2"/>
    <x v="3"/>
    <d v="2023-01-25T12:00:00"/>
    <d v="2023-01-25T13:30:00"/>
    <x v="13"/>
    <s v="Out of office ignore Lunch Time"/>
  </r>
  <r>
    <x v="2"/>
    <x v="4"/>
    <x v="6"/>
    <d v="2023-01-17T10:00:00"/>
    <d v="2023-01-17T10:30:00"/>
    <x v="6"/>
    <s v="NEON X SENSEDIA"/>
  </r>
  <r>
    <x v="3"/>
    <x v="3"/>
    <x v="10"/>
    <d v="2023-01-18T15:00:00"/>
    <d v="2023-01-18T16:30:00"/>
    <x v="8"/>
    <s v="Open Educationignore APIs"/>
  </r>
  <r>
    <x v="0"/>
    <x v="0"/>
    <x v="0"/>
    <d v="2023-01-26T08:45:00"/>
    <d v="2023-01-26T09:15:00"/>
    <x v="5"/>
    <s v="Daily | Solutions Team"/>
  </r>
  <r>
    <x v="0"/>
    <x v="3"/>
    <x v="10"/>
    <d v="2023-01-24T11:30:00"/>
    <d v="2023-01-24T12:00:00"/>
    <x v="6"/>
    <s v="Papo Open Education"/>
  </r>
  <r>
    <x v="0"/>
    <x v="3"/>
    <x v="7"/>
    <d v="2023-01-20T09:15:00"/>
    <d v="2023-01-20T10:15:00"/>
    <x v="1"/>
    <s v="PCM Banestes Sensedia"/>
  </r>
  <r>
    <x v="1"/>
    <x v="2"/>
    <x v="3"/>
    <d v="2023-01-26T11:30:00"/>
    <d v="2023-01-26T12:00:00"/>
    <x v="7"/>
    <s v="[Sensedia] ignore OpenFinance ignore PCM (Plataforma de Coleta de Métricas)"/>
  </r>
  <r>
    <x v="1"/>
    <x v="2"/>
    <x v="3"/>
    <d v="2023-01-26T12:00:00"/>
    <d v="2023-01-26T13:30:00"/>
    <x v="13"/>
    <s v="Out of office ignore Lunch Time"/>
  </r>
  <r>
    <x v="1"/>
    <x v="2"/>
    <x v="3"/>
    <d v="2023-01-26T12:15:00"/>
    <d v="2023-01-26T13:15:00"/>
    <x v="3"/>
    <s v="English Class ignore Fluentia"/>
  </r>
  <r>
    <x v="0"/>
    <x v="3"/>
    <x v="10"/>
    <d v="2023-01-26T16:30:00"/>
    <d v="2023-01-26T17:00:00"/>
    <x v="6"/>
    <s v="Open Education Checkpoint"/>
  </r>
  <r>
    <x v="0"/>
    <x v="0"/>
    <x v="19"/>
    <d v="2023-01-11T13:30:00"/>
    <d v="2023-01-11T14:00:00"/>
    <x v="6"/>
    <s v="Post Mortem ignore Banco Fibra"/>
  </r>
  <r>
    <x v="0"/>
    <x v="0"/>
    <x v="1"/>
    <d v="2023-01-27T08:00:00"/>
    <d v="2023-01-27T09:00:00"/>
    <x v="4"/>
    <s v="Checkpoint GTM iPaaS"/>
  </r>
  <r>
    <x v="0"/>
    <x v="1"/>
    <x v="12"/>
    <d v="2023-01-27T09:00:00"/>
    <d v="2023-01-27T11:00:00"/>
    <x v="10"/>
    <s v="BR Sales ignore Alinhamento Semanal"/>
  </r>
  <r>
    <x v="3"/>
    <x v="3"/>
    <x v="10"/>
    <d v="2023-01-09T10:00:00"/>
    <d v="2023-01-09T10:30:00"/>
    <x v="6"/>
    <s v="Pre alinhamento apresentação Cogna"/>
  </r>
  <r>
    <x v="0"/>
    <x v="7"/>
    <x v="17"/>
    <d v="2023-01-27T11:00:00"/>
    <d v="2023-01-27T12:00:00"/>
    <x v="4"/>
    <s v="WGO Global Reach"/>
  </r>
  <r>
    <x v="1"/>
    <x v="2"/>
    <x v="3"/>
    <d v="2023-01-27T11:30:00"/>
    <d v="2023-01-27T12:00:00"/>
    <x v="7"/>
    <s v="[Sensedia] ignore OpenFinance ignore PCM (Plataforma de Coleta de Métricas)"/>
  </r>
  <r>
    <x v="1"/>
    <x v="2"/>
    <x v="3"/>
    <d v="2023-01-27T12:00:00"/>
    <d v="2023-01-27T13:30:00"/>
    <x v="13"/>
    <s v="Out of office ignore Lunch Time"/>
  </r>
  <r>
    <x v="0"/>
    <x v="0"/>
    <x v="16"/>
    <d v="2023-01-27T13:30:00"/>
    <d v="2023-01-27T14:30:00"/>
    <x v="4"/>
    <s v="Solution Tech Meetings ignore Ofertas Freemium by Rodrigo Viana"/>
  </r>
  <r>
    <x v="0"/>
    <x v="0"/>
    <x v="11"/>
    <d v="2023-01-27T14:30:00"/>
    <d v="2023-01-27T15:00:00"/>
    <x v="6"/>
    <s v="Metas Expand ignore Alinhamento"/>
  </r>
  <r>
    <x v="0"/>
    <x v="0"/>
    <x v="18"/>
    <d v="2023-01-27T15:00:00"/>
    <d v="2023-01-27T15:30:00"/>
    <x v="6"/>
    <s v="Papo Léo e Flavio (1:1) "/>
  </r>
  <r>
    <x v="2"/>
    <x v="4"/>
    <x v="6"/>
    <d v="2023-01-05T11:00:00"/>
    <d v="2023-01-05T12:30:00"/>
    <x v="8"/>
    <s v="Reagendando  para amadurecer pontos trazidosignore CARDIF"/>
  </r>
  <r>
    <x v="1"/>
    <x v="2"/>
    <x v="3"/>
    <d v="2023-01-28T11:30:00"/>
    <d v="2023-01-28T12:00:00"/>
    <x v="7"/>
    <s v="[Sensedia] ignore OpenFinance ignore PCM (Plataforma de Coleta de Métricas)"/>
  </r>
  <r>
    <x v="1"/>
    <x v="2"/>
    <x v="3"/>
    <d v="2023-01-29T11:30:00"/>
    <d v="2023-01-29T12:00:00"/>
    <x v="7"/>
    <s v="[Sensedia] ignore OpenFinance ignore PCM (Plataforma de Coleta de Métricas)"/>
  </r>
  <r>
    <x v="0"/>
    <x v="0"/>
    <x v="11"/>
    <d v="2023-01-30T08:30:00"/>
    <d v="2023-01-30T08:45:00"/>
    <x v="15"/>
    <s v="Updates JIRA ignore Bora atualizar!!"/>
  </r>
  <r>
    <x v="0"/>
    <x v="0"/>
    <x v="0"/>
    <d v="2023-01-30T08:45:00"/>
    <d v="2023-01-30T09:15:00"/>
    <x v="5"/>
    <s v="Daily | Solutions Team"/>
  </r>
  <r>
    <x v="0"/>
    <x v="0"/>
    <x v="16"/>
    <d v="2023-01-30T09:15:00"/>
    <d v="2023-01-30T10:00:00"/>
    <x v="9"/>
    <s v="[Torre Finance] Use Cases ignore Ipaas"/>
  </r>
  <r>
    <x v="0"/>
    <x v="4"/>
    <x v="6"/>
    <d v="2023-01-13T13:30:00"/>
    <d v="2023-01-13T13:45:00"/>
    <x v="2"/>
    <s v="Renan + Carol "/>
  </r>
  <r>
    <x v="1"/>
    <x v="2"/>
    <x v="3"/>
    <d v="2023-01-30T11:30:00"/>
    <d v="2023-01-30T12:00:00"/>
    <x v="7"/>
    <s v="[Sensedia] ignore OpenFinance ignore PCM (Plataforma de Coleta de Métricas)"/>
  </r>
  <r>
    <x v="0"/>
    <x v="1"/>
    <x v="2"/>
    <d v="2023-01-30T11:45:00"/>
    <d v="2023-01-30T12:00:00"/>
    <x v="2"/>
    <s v="1:1 Weekly ignore Roberta Prado / Flavio Nunes"/>
  </r>
  <r>
    <x v="1"/>
    <x v="2"/>
    <x v="3"/>
    <d v="2023-01-30T12:00:00"/>
    <d v="2023-01-30T13:30:00"/>
    <x v="13"/>
    <s v="Out of office ignore Lunch Time"/>
  </r>
  <r>
    <x v="2"/>
    <x v="4"/>
    <x v="6"/>
    <d v="2023-01-24T10:00:00"/>
    <d v="2023-01-24T11:30:00"/>
    <x v="8"/>
    <s v="RFP ignore Nova Fábrica de Software V.tal ignore segunda rodada de dúvidas"/>
  </r>
  <r>
    <x v="0"/>
    <x v="0"/>
    <x v="20"/>
    <d v="2023-01-11T14:00:00"/>
    <d v="2023-01-11T16:00:00"/>
    <x v="16"/>
    <s v="Sensedia ignore Apresentação ToBe"/>
  </r>
  <r>
    <x v="0"/>
    <x v="1"/>
    <x v="4"/>
    <d v="2023-01-30T15:00:00"/>
    <d v="2023-01-30T16:00:00"/>
    <x v="4"/>
    <s v="Weekly ignore Business Unit ignore Finance &amp; Oil and Gas ignore Utilities"/>
  </r>
  <r>
    <x v="0"/>
    <x v="0"/>
    <x v="0"/>
    <d v="2023-01-31T08:45:00"/>
    <d v="2023-01-31T09:15:00"/>
    <x v="5"/>
    <s v="Daily | Solutions Team"/>
  </r>
  <r>
    <x v="0"/>
    <x v="0"/>
    <x v="18"/>
    <d v="2023-01-31T09:15:00"/>
    <d v="2023-01-31T10:00:00"/>
    <x v="9"/>
    <s v="Papo Léo e Flavio "/>
  </r>
  <r>
    <x v="0"/>
    <x v="3"/>
    <x v="5"/>
    <d v="2023-01-31T11:00:00"/>
    <d v="2023-01-31T12:00:00"/>
    <x v="4"/>
    <s v="Tendência do Setor Elétrico em 2023"/>
  </r>
  <r>
    <x v="2"/>
    <x v="4"/>
    <x v="6"/>
    <d v="2023-01-27T16:30:00"/>
    <d v="2023-01-27T17:00:00"/>
    <x v="6"/>
    <s v="The Bakery ignore Pitch ignore Solução para Otimização de Autorizações de aumento de Limite de Crédito"/>
  </r>
  <r>
    <x v="1"/>
    <x v="2"/>
    <x v="3"/>
    <d v="2023-01-31T11:30:00"/>
    <d v="2023-01-31T12:00:00"/>
    <x v="7"/>
    <s v="[Sensedia] ignore OpenFinance ignore PCM (Plataforma de Coleta de Métricas)"/>
  </r>
  <r>
    <x v="1"/>
    <x v="2"/>
    <x v="3"/>
    <d v="2023-01-31T12:00:00"/>
    <d v="2023-01-31T13:30:00"/>
    <x v="13"/>
    <s v="Out of office ignore Lunch Time"/>
  </r>
  <r>
    <x v="1"/>
    <x v="2"/>
    <x v="3"/>
    <d v="2023-01-31T12:15:00"/>
    <d v="2023-01-31T13:15:00"/>
    <x v="3"/>
    <s v="English Class ignore Fluentia"/>
  </r>
  <r>
    <x v="0"/>
    <x v="7"/>
    <x v="17"/>
    <d v="2023-01-31T15:00:00"/>
    <d v="2023-01-31T16:00:00"/>
    <x v="4"/>
    <s v="[SAVE THE DATE] Talent Review 2023"/>
  </r>
  <r>
    <x v="0"/>
    <x v="1"/>
    <x v="2"/>
    <d v="2023-01-31T15:30:00"/>
    <d v="2023-01-31T16:00:00"/>
    <x v="5"/>
    <s v="Flavio / Renan"/>
  </r>
  <r>
    <x v="2"/>
    <x v="4"/>
    <x v="6"/>
    <d v="2023-01-26T11:30:00"/>
    <d v="2023-01-26T12:00:00"/>
    <x v="6"/>
    <s v="The Bakrey ignore Revisão Pitch"/>
  </r>
  <r>
    <x v="2"/>
    <x v="3"/>
    <x v="7"/>
    <d v="2023-01-23T09:00:00"/>
    <d v="2023-01-23T10:00:00"/>
    <x v="4"/>
    <s v="Validação Produção Cielo x Sicredi "/>
  </r>
  <r>
    <x v="2"/>
    <x v="4"/>
    <x v="6"/>
    <d v="2023-01-19T16:15:00"/>
    <d v="2023-01-19T18:45:00"/>
    <x v="11"/>
    <s v="Visita Pay4Fu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BF1FB-915C-4C18-B8C4-196033CB0646}" name="Tabela dinâmica2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1" firstHeaderRow="1" firstDataRow="1" firstDataCol="1"/>
  <pivotFields count="7">
    <pivotField showAll="0">
      <items count="6">
        <item x="2"/>
        <item x="0"/>
        <item m="1" x="4"/>
        <item x="3"/>
        <item x="1"/>
        <item t="default"/>
      </items>
    </pivotField>
    <pivotField axis="axisRow" multipleItemSelectionAllowed="1" showAll="0">
      <items count="9">
        <item sd="0" x="4"/>
        <item h="1" x="2"/>
        <item sd="0" x="3"/>
        <item sd="0" x="5"/>
        <item sd="0" x="1"/>
        <item sd="0" x="7"/>
        <item sd="0" x="0"/>
        <item sd="0" x="6"/>
        <item t="default"/>
      </items>
    </pivotField>
    <pivotField axis="axisRow" showAll="0">
      <items count="22">
        <item x="2"/>
        <item x="14"/>
        <item x="17"/>
        <item x="3"/>
        <item x="9"/>
        <item x="8"/>
        <item x="7"/>
        <item x="10"/>
        <item x="5"/>
        <item x="19"/>
        <item x="12"/>
        <item x="4"/>
        <item x="18"/>
        <item x="11"/>
        <item x="1"/>
        <item x="20"/>
        <item x="15"/>
        <item x="0"/>
        <item x="16"/>
        <item x="13"/>
        <item x="6"/>
        <item t="default"/>
      </items>
    </pivotField>
    <pivotField numFmtId="169" showAll="0"/>
    <pivotField numFmtId="169" showAll="0"/>
    <pivotField dataField="1" showAll="0">
      <items count="26">
        <item x="7"/>
        <item x="3"/>
        <item x="13"/>
        <item x="17"/>
        <item m="1" x="19"/>
        <item m="1" x="20"/>
        <item m="1" x="23"/>
        <item x="12"/>
        <item m="1" x="21"/>
        <item m="1" x="24"/>
        <item m="1" x="18"/>
        <item m="1" x="22"/>
        <item x="0"/>
        <item x="1"/>
        <item x="2"/>
        <item x="4"/>
        <item x="5"/>
        <item x="6"/>
        <item x="8"/>
        <item x="9"/>
        <item x="10"/>
        <item x="11"/>
        <item x="14"/>
        <item x="15"/>
        <item x="16"/>
        <item t="default"/>
      </items>
    </pivotField>
    <pivotField showAll="0"/>
  </pivotFields>
  <rowFields count="2">
    <field x="1"/>
    <field x="2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start_dat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672D8262-C4E2-4D8F-BD37-DDE087466E83}" autoFormatId="16" applyNumberFormats="0" applyBorderFormats="0" applyFontFormats="0" applyPatternFormats="0" applyAlignmentFormats="0" applyWidthHeightFormats="0">
  <queryTableRefresh nextId="10">
    <queryTableFields count="9">
      <queryTableField id="1" name="calendar_owner_name" tableColumnId="1"/>
      <queryTableField id="2" name="calendar_owner_email" tableColumnId="2"/>
      <queryTableField id="3" name="start_date" tableColumnId="3"/>
      <queryTableField id="4" name="end_date" tableColumnId="4"/>
      <queryTableField id="5" name="duration" tableColumnId="5"/>
      <queryTableField id="6" name="event" tableColumnId="6"/>
      <queryTableField id="7" name="created" tableColumnId="7"/>
      <queryTableField id="8" name="organizaer" tableColumnId="8"/>
      <queryTableField id="9" name="attendees[email|name|response_status]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412817-44EF-4563-BC16-A93D2BBE098D}" name="flavio_2023_jan_events" displayName="flavio_2023_jan_events" ref="D1:L240" tableType="queryTable" totalsRowShown="0" headerRowDxfId="1" dataDxfId="0">
  <tableColumns count="9">
    <tableColumn id="1" xr3:uid="{9E919D65-5DCA-473A-A1D1-8F232B0B50CE}" uniqueName="1" name="calendar_owner_name" queryTableFieldId="1" dataDxfId="10"/>
    <tableColumn id="2" xr3:uid="{9058B959-4D49-4E9E-8B49-26F48E80138F}" uniqueName="2" name="calendar_owner_email" queryTableFieldId="2" dataDxfId="9"/>
    <tableColumn id="3" xr3:uid="{072C4211-5E98-430E-8F47-E91BA08DB3BF}" uniqueName="3" name="start_date" queryTableFieldId="3" dataDxfId="8"/>
    <tableColumn id="4" xr3:uid="{85F79A7D-A51E-430A-910C-DFBC120512FF}" uniqueName="4" name="end_date" queryTableFieldId="4" dataDxfId="7"/>
    <tableColumn id="5" xr3:uid="{7BC48114-7AD4-4C23-BB4E-866F05792359}" uniqueName="5" name="duration" queryTableFieldId="5" dataDxfId="6"/>
    <tableColumn id="6" xr3:uid="{5DFBD96C-DDA3-4983-8FA3-D61072BEB18A}" uniqueName="6" name="event" queryTableFieldId="6" dataDxfId="5"/>
    <tableColumn id="7" xr3:uid="{6497A15C-D437-418D-842E-2B6A2BFA6D2F}" uniqueName="7" name="created" queryTableFieldId="7" dataDxfId="4"/>
    <tableColumn id="8" xr3:uid="{A852F2E0-F64C-4F0A-83E0-370F409058D7}" uniqueName="8" name="organizaer" queryTableFieldId="8" dataDxfId="3"/>
    <tableColumn id="9" xr3:uid="{696A3AE4-F158-4E77-B0E9-1BD7DDC47FCE}" uniqueName="9" name="attendees[email|name|response_status]" queryTableFieldId="9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379DE-BAE7-4AF2-A092-84938446A7AE}">
  <dimension ref="A1:L240"/>
  <sheetViews>
    <sheetView topLeftCell="A227" zoomScale="130" zoomScaleNormal="130" workbookViewId="0">
      <selection sqref="A1:G240"/>
    </sheetView>
  </sheetViews>
  <sheetFormatPr defaultRowHeight="15.5" x14ac:dyDescent="0.35"/>
  <cols>
    <col min="1" max="3" width="8.7265625" style="6"/>
    <col min="4" max="4" width="22.54296875" style="6" bestFit="1" customWidth="1"/>
    <col min="5" max="5" width="22.36328125" style="6" bestFit="1" customWidth="1"/>
    <col min="6" max="6" width="11.90625" style="6" bestFit="1" customWidth="1"/>
    <col min="7" max="7" width="54.90625" style="6" customWidth="1"/>
    <col min="8" max="8" width="10.36328125" style="6" bestFit="1" customWidth="1"/>
    <col min="9" max="9" width="7.81640625" style="6" bestFit="1" customWidth="1"/>
    <col min="10" max="10" width="9.453125" style="6" bestFit="1" customWidth="1"/>
    <col min="11" max="11" width="11.90625" style="6" bestFit="1" customWidth="1"/>
    <col min="12" max="12" width="38.26953125" style="6" bestFit="1" customWidth="1"/>
    <col min="13" max="16384" width="8.7265625" style="6"/>
  </cols>
  <sheetData>
    <row r="1" spans="1:12" x14ac:dyDescent="0.35">
      <c r="A1" s="6" t="s">
        <v>106</v>
      </c>
      <c r="B1" s="6" t="s">
        <v>104</v>
      </c>
      <c r="C1" s="6" t="s">
        <v>105</v>
      </c>
      <c r="D1" s="6" t="s">
        <v>0</v>
      </c>
      <c r="E1" s="6" t="s">
        <v>1</v>
      </c>
      <c r="F1" s="6" t="s">
        <v>2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7</v>
      </c>
      <c r="L1" s="6" t="s">
        <v>8</v>
      </c>
    </row>
    <row r="2" spans="1:12" x14ac:dyDescent="0.35">
      <c r="D2" s="7">
        <v>44928.364583333336</v>
      </c>
      <c r="E2" s="7">
        <v>44928.385416666664</v>
      </c>
      <c r="F2" s="6">
        <v>5</v>
      </c>
      <c r="G2" s="8" t="s">
        <v>9</v>
      </c>
      <c r="H2" s="8" t="s">
        <v>10</v>
      </c>
      <c r="I2" s="8" t="s">
        <v>10</v>
      </c>
      <c r="J2" s="8" t="s">
        <v>10</v>
      </c>
      <c r="K2" s="8" t="s">
        <v>10</v>
      </c>
      <c r="L2" s="8" t="s">
        <v>10</v>
      </c>
    </row>
    <row r="3" spans="1:12" x14ac:dyDescent="0.35">
      <c r="D3" s="7">
        <v>44928.385416666664</v>
      </c>
      <c r="E3" s="7">
        <v>44928.427083333336</v>
      </c>
      <c r="F3" s="6">
        <v>10</v>
      </c>
      <c r="G3" s="8" t="s">
        <v>109</v>
      </c>
      <c r="H3" s="8" t="s">
        <v>10</v>
      </c>
      <c r="I3" s="8" t="s">
        <v>10</v>
      </c>
      <c r="J3" s="8" t="s">
        <v>10</v>
      </c>
      <c r="K3" s="8" t="s">
        <v>10</v>
      </c>
      <c r="L3" s="8" t="s">
        <v>10</v>
      </c>
    </row>
    <row r="4" spans="1:12" x14ac:dyDescent="0.35">
      <c r="D4" s="7">
        <v>44928.489583333336</v>
      </c>
      <c r="E4" s="7">
        <v>44928.5</v>
      </c>
      <c r="F4" s="6">
        <v>25</v>
      </c>
      <c r="G4" s="8" t="s">
        <v>110</v>
      </c>
      <c r="H4" s="8" t="s">
        <v>10</v>
      </c>
      <c r="I4" s="8" t="s">
        <v>10</v>
      </c>
      <c r="J4" s="8" t="s">
        <v>10</v>
      </c>
      <c r="K4" s="8" t="s">
        <v>10</v>
      </c>
      <c r="L4" s="8" t="s">
        <v>10</v>
      </c>
    </row>
    <row r="5" spans="1:12" x14ac:dyDescent="0.35">
      <c r="B5" s="6" t="s">
        <v>108</v>
      </c>
      <c r="C5" s="6" t="s">
        <v>108</v>
      </c>
      <c r="D5" s="7">
        <v>44928.5</v>
      </c>
      <c r="E5" s="7">
        <v>44928.541666666664</v>
      </c>
      <c r="F5" s="6">
        <v>10</v>
      </c>
      <c r="G5" s="8" t="s">
        <v>111</v>
      </c>
      <c r="H5" s="8" t="s">
        <v>10</v>
      </c>
      <c r="I5" s="8" t="s">
        <v>10</v>
      </c>
      <c r="J5" s="8" t="s">
        <v>10</v>
      </c>
      <c r="K5" s="8" t="s">
        <v>10</v>
      </c>
      <c r="L5" s="8" t="s">
        <v>10</v>
      </c>
    </row>
    <row r="6" spans="1:12" x14ac:dyDescent="0.35">
      <c r="B6" s="6" t="s">
        <v>108</v>
      </c>
      <c r="C6" s="6" t="s">
        <v>108</v>
      </c>
      <c r="D6" s="7">
        <v>44928.625</v>
      </c>
      <c r="E6" s="7">
        <v>44928.666666666664</v>
      </c>
      <c r="F6" s="6">
        <v>10</v>
      </c>
      <c r="G6" s="8" t="s">
        <v>112</v>
      </c>
      <c r="H6" s="8" t="s">
        <v>10</v>
      </c>
      <c r="I6" s="8" t="s">
        <v>10</v>
      </c>
      <c r="J6" s="8" t="s">
        <v>10</v>
      </c>
      <c r="K6" s="8" t="s">
        <v>10</v>
      </c>
      <c r="L6" s="8" t="s">
        <v>10</v>
      </c>
    </row>
    <row r="7" spans="1:12" x14ac:dyDescent="0.35">
      <c r="B7" s="6" t="s">
        <v>108</v>
      </c>
      <c r="C7" s="6" t="s">
        <v>108</v>
      </c>
      <c r="D7" s="7">
        <v>44929.364583333336</v>
      </c>
      <c r="E7" s="7">
        <v>44929.385416666664</v>
      </c>
      <c r="F7" s="6">
        <v>5</v>
      </c>
      <c r="G7" s="8" t="s">
        <v>9</v>
      </c>
      <c r="H7" s="8" t="s">
        <v>10</v>
      </c>
      <c r="I7" s="8" t="s">
        <v>10</v>
      </c>
      <c r="J7" s="8" t="s">
        <v>10</v>
      </c>
      <c r="K7" s="8" t="s">
        <v>10</v>
      </c>
      <c r="L7" s="8" t="s">
        <v>10</v>
      </c>
    </row>
    <row r="8" spans="1:12" x14ac:dyDescent="0.35">
      <c r="B8" s="6" t="s">
        <v>108</v>
      </c>
      <c r="C8" s="6" t="s">
        <v>108</v>
      </c>
      <c r="D8" s="7">
        <v>44929.395833333336</v>
      </c>
      <c r="E8" s="7">
        <v>44929.416666666664</v>
      </c>
      <c r="F8" s="6">
        <v>5</v>
      </c>
      <c r="G8" s="8" t="s">
        <v>113</v>
      </c>
      <c r="H8" s="8" t="s">
        <v>10</v>
      </c>
      <c r="I8" s="8" t="s">
        <v>10</v>
      </c>
      <c r="J8" s="8" t="s">
        <v>10</v>
      </c>
      <c r="K8" s="8" t="s">
        <v>10</v>
      </c>
      <c r="L8" s="8" t="s">
        <v>10</v>
      </c>
    </row>
    <row r="9" spans="1:12" x14ac:dyDescent="0.35">
      <c r="B9" s="6" t="s">
        <v>108</v>
      </c>
      <c r="C9" s="6" t="s">
        <v>108</v>
      </c>
      <c r="D9" s="7">
        <v>44929.416666666664</v>
      </c>
      <c r="E9" s="7">
        <v>44929.4375</v>
      </c>
      <c r="F9" s="6">
        <v>5</v>
      </c>
      <c r="G9" s="8" t="s">
        <v>114</v>
      </c>
      <c r="H9" s="8" t="s">
        <v>10</v>
      </c>
      <c r="I9" s="8" t="s">
        <v>10</v>
      </c>
      <c r="J9" s="8" t="s">
        <v>10</v>
      </c>
      <c r="K9" s="8" t="s">
        <v>10</v>
      </c>
      <c r="L9" s="8" t="s">
        <v>10</v>
      </c>
    </row>
    <row r="10" spans="1:12" x14ac:dyDescent="0.35">
      <c r="B10" s="6" t="s">
        <v>108</v>
      </c>
      <c r="C10" s="6" t="s">
        <v>108</v>
      </c>
      <c r="D10" s="7">
        <v>44929.458333333336</v>
      </c>
      <c r="E10" s="7">
        <v>44929.5</v>
      </c>
      <c r="F10" s="6">
        <v>10</v>
      </c>
      <c r="G10" s="8" t="s">
        <v>11</v>
      </c>
      <c r="H10" s="8" t="s">
        <v>10</v>
      </c>
      <c r="I10" s="8" t="s">
        <v>10</v>
      </c>
      <c r="J10" s="8" t="s">
        <v>10</v>
      </c>
      <c r="K10" s="8" t="s">
        <v>10</v>
      </c>
      <c r="L10" s="8" t="s">
        <v>10</v>
      </c>
    </row>
    <row r="11" spans="1:12" x14ac:dyDescent="0.35">
      <c r="B11" s="6" t="s">
        <v>108</v>
      </c>
      <c r="C11" s="6" t="s">
        <v>108</v>
      </c>
      <c r="D11" s="7">
        <v>44929.479166666664</v>
      </c>
      <c r="E11" s="7">
        <v>44929.5</v>
      </c>
      <c r="F11" s="6">
        <v>5</v>
      </c>
      <c r="G11" s="8" t="s">
        <v>12</v>
      </c>
      <c r="H11" s="8" t="s">
        <v>10</v>
      </c>
      <c r="I11" s="8" t="s">
        <v>10</v>
      </c>
      <c r="J11" s="8" t="s">
        <v>10</v>
      </c>
      <c r="K11" s="8" t="s">
        <v>10</v>
      </c>
      <c r="L11" s="8" t="s">
        <v>10</v>
      </c>
    </row>
    <row r="12" spans="1:12" x14ac:dyDescent="0.35">
      <c r="B12" s="6" t="s">
        <v>168</v>
      </c>
      <c r="C12" s="6" t="s">
        <v>108</v>
      </c>
      <c r="D12" s="7">
        <v>44929.479166666664</v>
      </c>
      <c r="E12" s="7">
        <v>44929.5</v>
      </c>
      <c r="F12" s="6">
        <v>5</v>
      </c>
      <c r="G12" s="8" t="s">
        <v>115</v>
      </c>
      <c r="H12" s="8" t="s">
        <v>10</v>
      </c>
      <c r="I12" s="8" t="s">
        <v>10</v>
      </c>
      <c r="J12" s="8" t="s">
        <v>10</v>
      </c>
      <c r="K12" s="8" t="s">
        <v>10</v>
      </c>
      <c r="L12" s="8" t="s">
        <v>10</v>
      </c>
    </row>
    <row r="13" spans="1:12" x14ac:dyDescent="0.35">
      <c r="B13" s="6" t="s">
        <v>108</v>
      </c>
      <c r="C13" s="6" t="s">
        <v>108</v>
      </c>
      <c r="D13" s="7">
        <v>44929.5</v>
      </c>
      <c r="E13" s="7">
        <v>44929.541666666664</v>
      </c>
      <c r="F13" s="6">
        <v>10</v>
      </c>
      <c r="G13" s="8" t="s">
        <v>111</v>
      </c>
      <c r="H13" s="8" t="s">
        <v>10</v>
      </c>
      <c r="I13" s="8" t="s">
        <v>10</v>
      </c>
      <c r="J13" s="8" t="s">
        <v>10</v>
      </c>
      <c r="K13" s="8" t="s">
        <v>10</v>
      </c>
      <c r="L13" s="8" t="s">
        <v>10</v>
      </c>
    </row>
    <row r="14" spans="1:12" x14ac:dyDescent="0.35">
      <c r="B14" s="6" t="s">
        <v>108</v>
      </c>
      <c r="C14" s="6" t="s">
        <v>108</v>
      </c>
      <c r="D14" s="7">
        <v>44929.510416666664</v>
      </c>
      <c r="E14" s="7">
        <v>44929.552083333336</v>
      </c>
      <c r="F14" s="6">
        <v>10</v>
      </c>
      <c r="G14" s="8" t="s">
        <v>116</v>
      </c>
      <c r="H14" s="8" t="s">
        <v>10</v>
      </c>
      <c r="I14" s="8" t="s">
        <v>10</v>
      </c>
      <c r="J14" s="8" t="s">
        <v>10</v>
      </c>
      <c r="K14" s="8" t="s">
        <v>10</v>
      </c>
      <c r="L14" s="8" t="s">
        <v>10</v>
      </c>
    </row>
    <row r="15" spans="1:12" x14ac:dyDescent="0.35">
      <c r="B15" s="6" t="s">
        <v>108</v>
      </c>
      <c r="C15" s="6" t="s">
        <v>108</v>
      </c>
      <c r="D15" s="7">
        <v>44929.583333333336</v>
      </c>
      <c r="E15" s="7">
        <v>44929.604166666664</v>
      </c>
      <c r="F15" s="6">
        <v>5</v>
      </c>
      <c r="G15" s="8" t="s">
        <v>13</v>
      </c>
      <c r="H15" s="8" t="s">
        <v>10</v>
      </c>
      <c r="I15" s="8" t="s">
        <v>10</v>
      </c>
      <c r="J15" s="8" t="s">
        <v>10</v>
      </c>
      <c r="K15" s="8" t="s">
        <v>10</v>
      </c>
      <c r="L15" s="8" t="s">
        <v>10</v>
      </c>
    </row>
    <row r="16" spans="1:12" x14ac:dyDescent="0.35">
      <c r="B16" s="6" t="s">
        <v>108</v>
      </c>
      <c r="C16" s="6" t="s">
        <v>108</v>
      </c>
      <c r="D16" s="7">
        <v>44929.625</v>
      </c>
      <c r="E16" s="7">
        <v>44929.666666666664</v>
      </c>
      <c r="F16" s="6">
        <v>10</v>
      </c>
      <c r="G16" s="8" t="s">
        <v>117</v>
      </c>
      <c r="H16" s="8" t="s">
        <v>10</v>
      </c>
      <c r="I16" s="8" t="s">
        <v>10</v>
      </c>
      <c r="J16" s="8" t="s">
        <v>10</v>
      </c>
      <c r="K16" s="8" t="s">
        <v>10</v>
      </c>
      <c r="L16" s="8" t="s">
        <v>10</v>
      </c>
    </row>
    <row r="17" spans="2:12" x14ac:dyDescent="0.35">
      <c r="B17" s="6" t="s">
        <v>108</v>
      </c>
      <c r="C17" s="6" t="s">
        <v>108</v>
      </c>
      <c r="D17" s="7">
        <v>44929.666666666664</v>
      </c>
      <c r="E17" s="7">
        <v>44929.708333333336</v>
      </c>
      <c r="F17" s="6">
        <v>10</v>
      </c>
      <c r="G17" s="8" t="s">
        <v>118</v>
      </c>
      <c r="H17" s="8" t="s">
        <v>10</v>
      </c>
      <c r="I17" s="8" t="s">
        <v>10</v>
      </c>
      <c r="J17" s="8" t="s">
        <v>10</v>
      </c>
      <c r="K17" s="8" t="s">
        <v>10</v>
      </c>
      <c r="L17" s="8" t="s">
        <v>10</v>
      </c>
    </row>
    <row r="18" spans="2:12" x14ac:dyDescent="0.35">
      <c r="B18" s="6" t="s">
        <v>108</v>
      </c>
      <c r="C18" s="6" t="s">
        <v>108</v>
      </c>
      <c r="D18" s="7">
        <v>44930.364583333336</v>
      </c>
      <c r="E18" s="7">
        <v>44930.385416666664</v>
      </c>
      <c r="F18" s="6">
        <v>5</v>
      </c>
      <c r="G18" s="8" t="s">
        <v>9</v>
      </c>
      <c r="H18" s="8" t="s">
        <v>10</v>
      </c>
      <c r="I18" s="8" t="s">
        <v>10</v>
      </c>
      <c r="J18" s="8" t="s">
        <v>10</v>
      </c>
      <c r="K18" s="8" t="s">
        <v>10</v>
      </c>
      <c r="L18" s="8" t="s">
        <v>10</v>
      </c>
    </row>
    <row r="19" spans="2:12" x14ac:dyDescent="0.35">
      <c r="B19" s="6" t="s">
        <v>108</v>
      </c>
      <c r="C19" s="6" t="s">
        <v>108</v>
      </c>
      <c r="D19" s="7">
        <v>44930.458333333336</v>
      </c>
      <c r="E19" s="7">
        <v>44930.479166666664</v>
      </c>
      <c r="F19" s="6">
        <v>5</v>
      </c>
      <c r="G19" s="8" t="s">
        <v>14</v>
      </c>
      <c r="H19" s="8" t="s">
        <v>10</v>
      </c>
      <c r="I19" s="8" t="s">
        <v>10</v>
      </c>
      <c r="J19" s="8" t="s">
        <v>10</v>
      </c>
      <c r="K19" s="8" t="s">
        <v>10</v>
      </c>
      <c r="L19" s="8" t="s">
        <v>10</v>
      </c>
    </row>
    <row r="20" spans="2:12" x14ac:dyDescent="0.35">
      <c r="B20" s="6" t="s">
        <v>108</v>
      </c>
      <c r="C20" s="6" t="s">
        <v>108</v>
      </c>
      <c r="D20" s="7">
        <v>44930.479166666664</v>
      </c>
      <c r="E20" s="7">
        <v>44930.5</v>
      </c>
      <c r="F20" s="6">
        <v>5</v>
      </c>
      <c r="G20" s="8" t="s">
        <v>115</v>
      </c>
      <c r="H20" s="8" t="s">
        <v>10</v>
      </c>
      <c r="I20" s="8" t="s">
        <v>10</v>
      </c>
      <c r="J20" s="8" t="s">
        <v>10</v>
      </c>
      <c r="K20" s="8" t="s">
        <v>10</v>
      </c>
      <c r="L20" s="8" t="s">
        <v>10</v>
      </c>
    </row>
    <row r="21" spans="2:12" x14ac:dyDescent="0.35">
      <c r="B21" s="6" t="s">
        <v>108</v>
      </c>
      <c r="C21" s="6" t="s">
        <v>108</v>
      </c>
      <c r="D21" s="7">
        <v>44930.479166666664</v>
      </c>
      <c r="E21" s="7">
        <v>44930.5</v>
      </c>
      <c r="F21" s="6">
        <v>5</v>
      </c>
      <c r="G21" s="8" t="s">
        <v>15</v>
      </c>
      <c r="H21" s="8" t="s">
        <v>10</v>
      </c>
      <c r="I21" s="8" t="s">
        <v>10</v>
      </c>
      <c r="J21" s="8" t="s">
        <v>10</v>
      </c>
      <c r="K21" s="8" t="s">
        <v>10</v>
      </c>
      <c r="L21" s="8" t="s">
        <v>10</v>
      </c>
    </row>
    <row r="22" spans="2:12" x14ac:dyDescent="0.35">
      <c r="B22" s="6" t="s">
        <v>108</v>
      </c>
      <c r="C22" s="6" t="s">
        <v>108</v>
      </c>
      <c r="D22" s="7">
        <v>44930.5</v>
      </c>
      <c r="E22" s="7">
        <v>44930.541666666664</v>
      </c>
      <c r="F22" s="6">
        <v>10</v>
      </c>
      <c r="G22" s="8" t="s">
        <v>111</v>
      </c>
      <c r="H22" s="8" t="s">
        <v>10</v>
      </c>
      <c r="I22" s="8" t="s">
        <v>10</v>
      </c>
      <c r="J22" s="8" t="s">
        <v>10</v>
      </c>
      <c r="K22" s="8" t="s">
        <v>10</v>
      </c>
      <c r="L22" s="8" t="s">
        <v>10</v>
      </c>
    </row>
    <row r="23" spans="2:12" x14ac:dyDescent="0.35">
      <c r="B23" s="6" t="s">
        <v>108</v>
      </c>
      <c r="C23" s="6" t="s">
        <v>108</v>
      </c>
      <c r="D23" s="7">
        <v>44930.583333333336</v>
      </c>
      <c r="E23" s="7">
        <v>44930.604166666664</v>
      </c>
      <c r="F23" s="6">
        <v>5</v>
      </c>
      <c r="G23" s="8" t="s">
        <v>16</v>
      </c>
      <c r="H23" s="8" t="s">
        <v>10</v>
      </c>
      <c r="I23" s="8" t="s">
        <v>10</v>
      </c>
      <c r="J23" s="8" t="s">
        <v>10</v>
      </c>
      <c r="K23" s="8" t="s">
        <v>10</v>
      </c>
      <c r="L23" s="8" t="s">
        <v>10</v>
      </c>
    </row>
    <row r="24" spans="2:12" x14ac:dyDescent="0.35">
      <c r="B24" s="6" t="s">
        <v>108</v>
      </c>
      <c r="C24" s="6" t="s">
        <v>108</v>
      </c>
      <c r="D24" s="7">
        <v>44931.364583333336</v>
      </c>
      <c r="E24" s="7">
        <v>44931.385416666664</v>
      </c>
      <c r="F24" s="6">
        <v>5</v>
      </c>
      <c r="G24" s="8" t="s">
        <v>9</v>
      </c>
      <c r="H24" s="8" t="s">
        <v>10</v>
      </c>
      <c r="I24" s="8" t="s">
        <v>10</v>
      </c>
      <c r="J24" s="8" t="s">
        <v>10</v>
      </c>
      <c r="K24" s="8" t="s">
        <v>10</v>
      </c>
      <c r="L24" s="8" t="s">
        <v>10</v>
      </c>
    </row>
    <row r="25" spans="2:12" x14ac:dyDescent="0.35">
      <c r="B25" s="6" t="s">
        <v>108</v>
      </c>
      <c r="C25" s="6" t="s">
        <v>108</v>
      </c>
      <c r="D25" s="7">
        <v>44931.416666666664</v>
      </c>
      <c r="E25" s="7">
        <v>44931.447916666664</v>
      </c>
      <c r="F25" s="6">
        <v>75</v>
      </c>
      <c r="G25" s="8" t="s">
        <v>119</v>
      </c>
      <c r="H25" s="8" t="s">
        <v>10</v>
      </c>
      <c r="I25" s="8" t="s">
        <v>10</v>
      </c>
      <c r="J25" s="8" t="s">
        <v>10</v>
      </c>
      <c r="K25" s="8" t="s">
        <v>10</v>
      </c>
      <c r="L25" s="8" t="s">
        <v>10</v>
      </c>
    </row>
    <row r="26" spans="2:12" x14ac:dyDescent="0.35">
      <c r="B26" s="6" t="s">
        <v>108</v>
      </c>
      <c r="C26" s="6" t="s">
        <v>108</v>
      </c>
      <c r="D26" s="7">
        <v>44931.458333333336</v>
      </c>
      <c r="E26" s="7">
        <v>44931.5</v>
      </c>
      <c r="F26" s="6">
        <v>10</v>
      </c>
      <c r="G26" s="8" t="s">
        <v>120</v>
      </c>
      <c r="H26" s="8" t="s">
        <v>10</v>
      </c>
      <c r="I26" s="8" t="s">
        <v>10</v>
      </c>
      <c r="J26" s="8" t="s">
        <v>10</v>
      </c>
      <c r="K26" s="8" t="s">
        <v>10</v>
      </c>
      <c r="L26" s="8" t="s">
        <v>10</v>
      </c>
    </row>
    <row r="27" spans="2:12" x14ac:dyDescent="0.35">
      <c r="B27" s="6" t="s">
        <v>108</v>
      </c>
      <c r="C27" s="6" t="s">
        <v>108</v>
      </c>
      <c r="D27" s="7">
        <v>44931.458333333336</v>
      </c>
      <c r="E27" s="7">
        <v>44931.520833333336</v>
      </c>
      <c r="F27" s="6">
        <v>15</v>
      </c>
      <c r="G27" s="8" t="s">
        <v>121</v>
      </c>
      <c r="H27" s="8" t="s">
        <v>10</v>
      </c>
      <c r="I27" s="8" t="s">
        <v>10</v>
      </c>
      <c r="J27" s="8" t="s">
        <v>10</v>
      </c>
      <c r="K27" s="8" t="s">
        <v>10</v>
      </c>
      <c r="L27" s="8" t="s">
        <v>10</v>
      </c>
    </row>
    <row r="28" spans="2:12" x14ac:dyDescent="0.35">
      <c r="B28" s="6" t="s">
        <v>108</v>
      </c>
      <c r="C28" s="6" t="s">
        <v>108</v>
      </c>
      <c r="D28" s="7">
        <v>44931.479166666664</v>
      </c>
      <c r="E28" s="7">
        <v>44931.5</v>
      </c>
      <c r="F28" s="6">
        <v>5</v>
      </c>
      <c r="G28" s="8" t="s">
        <v>115</v>
      </c>
      <c r="H28" s="8" t="s">
        <v>10</v>
      </c>
      <c r="I28" s="8" t="s">
        <v>10</v>
      </c>
      <c r="J28" s="8" t="s">
        <v>10</v>
      </c>
      <c r="K28" s="8" t="s">
        <v>10</v>
      </c>
      <c r="L28" s="8" t="s">
        <v>10</v>
      </c>
    </row>
    <row r="29" spans="2:12" x14ac:dyDescent="0.35">
      <c r="B29" s="6" t="s">
        <v>108</v>
      </c>
      <c r="C29" s="6" t="s">
        <v>108</v>
      </c>
      <c r="D29" s="7">
        <v>44931.5</v>
      </c>
      <c r="E29" s="7">
        <v>44931.541666666664</v>
      </c>
      <c r="F29" s="6">
        <v>10</v>
      </c>
      <c r="G29" s="8" t="s">
        <v>111</v>
      </c>
      <c r="H29" s="8" t="s">
        <v>10</v>
      </c>
      <c r="I29" s="8" t="s">
        <v>10</v>
      </c>
      <c r="J29" s="8" t="s">
        <v>10</v>
      </c>
      <c r="K29" s="8" t="s">
        <v>10</v>
      </c>
      <c r="L29" s="8" t="s">
        <v>10</v>
      </c>
    </row>
    <row r="30" spans="2:12" x14ac:dyDescent="0.35">
      <c r="B30" s="6" t="s">
        <v>108</v>
      </c>
      <c r="C30" s="6" t="s">
        <v>108</v>
      </c>
      <c r="D30" s="7">
        <v>44931.510416666664</v>
      </c>
      <c r="E30" s="7">
        <v>44931.552083333336</v>
      </c>
      <c r="F30" s="6">
        <v>10</v>
      </c>
      <c r="G30" s="8" t="s">
        <v>116</v>
      </c>
      <c r="H30" s="8" t="s">
        <v>10</v>
      </c>
      <c r="I30" s="8" t="s">
        <v>10</v>
      </c>
      <c r="J30" s="8" t="s">
        <v>10</v>
      </c>
      <c r="K30" s="8" t="s">
        <v>10</v>
      </c>
      <c r="L30" s="8" t="s">
        <v>10</v>
      </c>
    </row>
    <row r="31" spans="2:12" x14ac:dyDescent="0.35">
      <c r="B31" s="6" t="s">
        <v>108</v>
      </c>
      <c r="C31" s="6" t="s">
        <v>108</v>
      </c>
      <c r="D31" s="7">
        <v>44931.583333333336</v>
      </c>
      <c r="E31" s="7">
        <v>44931.625</v>
      </c>
      <c r="F31" s="6">
        <v>10</v>
      </c>
      <c r="G31" s="8" t="s">
        <v>122</v>
      </c>
      <c r="H31" s="8" t="s">
        <v>10</v>
      </c>
      <c r="I31" s="8" t="s">
        <v>10</v>
      </c>
      <c r="J31" s="8" t="s">
        <v>10</v>
      </c>
      <c r="K31" s="8" t="s">
        <v>10</v>
      </c>
      <c r="L31" s="8" t="s">
        <v>10</v>
      </c>
    </row>
    <row r="32" spans="2:12" x14ac:dyDescent="0.35">
      <c r="B32" s="6" t="s">
        <v>108</v>
      </c>
      <c r="C32" s="6" t="s">
        <v>108</v>
      </c>
      <c r="D32" s="7">
        <v>44931.625</v>
      </c>
      <c r="E32" s="7">
        <v>44931.666666666664</v>
      </c>
      <c r="F32" s="6">
        <v>10</v>
      </c>
      <c r="G32" s="8" t="s">
        <v>123</v>
      </c>
      <c r="H32" s="8" t="s">
        <v>10</v>
      </c>
      <c r="I32" s="8" t="s">
        <v>10</v>
      </c>
      <c r="J32" s="8" t="s">
        <v>10</v>
      </c>
      <c r="K32" s="8" t="s">
        <v>10</v>
      </c>
      <c r="L32" s="8" t="s">
        <v>10</v>
      </c>
    </row>
    <row r="33" spans="2:12" x14ac:dyDescent="0.35">
      <c r="B33" s="6" t="s">
        <v>108</v>
      </c>
      <c r="C33" s="6" t="s">
        <v>108</v>
      </c>
      <c r="D33" s="7">
        <v>44931.666666666664</v>
      </c>
      <c r="E33" s="7">
        <v>44931.708333333336</v>
      </c>
      <c r="F33" s="6">
        <v>10</v>
      </c>
      <c r="G33" s="8" t="s">
        <v>17</v>
      </c>
      <c r="H33" s="8" t="s">
        <v>10</v>
      </c>
      <c r="I33" s="8" t="s">
        <v>10</v>
      </c>
      <c r="J33" s="8" t="s">
        <v>10</v>
      </c>
      <c r="K33" s="8" t="s">
        <v>10</v>
      </c>
      <c r="L33" s="8" t="s">
        <v>10</v>
      </c>
    </row>
    <row r="34" spans="2:12" x14ac:dyDescent="0.35">
      <c r="B34" s="6" t="s">
        <v>108</v>
      </c>
      <c r="C34" s="6" t="s">
        <v>108</v>
      </c>
      <c r="D34" s="7">
        <v>44931.708333333336</v>
      </c>
      <c r="E34" s="7">
        <v>44931.75</v>
      </c>
      <c r="F34" s="6">
        <v>10</v>
      </c>
      <c r="G34" s="8" t="s">
        <v>124</v>
      </c>
      <c r="H34" s="8" t="s">
        <v>10</v>
      </c>
      <c r="I34" s="8" t="s">
        <v>10</v>
      </c>
      <c r="J34" s="8" t="s">
        <v>10</v>
      </c>
      <c r="K34" s="8" t="s">
        <v>10</v>
      </c>
      <c r="L34" s="8" t="s">
        <v>10</v>
      </c>
    </row>
    <row r="35" spans="2:12" x14ac:dyDescent="0.35">
      <c r="B35" s="6" t="s">
        <v>108</v>
      </c>
      <c r="C35" s="6" t="s">
        <v>108</v>
      </c>
      <c r="D35" s="7">
        <v>44932.416666666664</v>
      </c>
      <c r="E35" s="7">
        <v>44932.4375</v>
      </c>
      <c r="F35" s="6">
        <v>5</v>
      </c>
      <c r="G35" s="8" t="s">
        <v>18</v>
      </c>
      <c r="H35" s="8" t="s">
        <v>10</v>
      </c>
      <c r="I35" s="8" t="s">
        <v>10</v>
      </c>
      <c r="J35" s="8" t="s">
        <v>10</v>
      </c>
      <c r="K35" s="8" t="s">
        <v>10</v>
      </c>
      <c r="L35" s="8" t="s">
        <v>10</v>
      </c>
    </row>
    <row r="36" spans="2:12" x14ac:dyDescent="0.35">
      <c r="B36" s="6" t="s">
        <v>108</v>
      </c>
      <c r="C36" s="6" t="s">
        <v>108</v>
      </c>
      <c r="D36" s="7">
        <v>44932.4375</v>
      </c>
      <c r="E36" s="7">
        <v>44932.479166666664</v>
      </c>
      <c r="F36" s="6">
        <v>10</v>
      </c>
      <c r="G36" s="8" t="s">
        <v>19</v>
      </c>
      <c r="H36" s="8" t="s">
        <v>10</v>
      </c>
      <c r="I36" s="8" t="s">
        <v>10</v>
      </c>
      <c r="J36" s="8" t="s">
        <v>10</v>
      </c>
      <c r="K36" s="8" t="s">
        <v>10</v>
      </c>
      <c r="L36" s="8" t="s">
        <v>10</v>
      </c>
    </row>
    <row r="37" spans="2:12" x14ac:dyDescent="0.35">
      <c r="B37" s="6" t="s">
        <v>108</v>
      </c>
      <c r="C37" s="6" t="s">
        <v>108</v>
      </c>
      <c r="D37" s="7">
        <v>44932.458333333336</v>
      </c>
      <c r="E37" s="7">
        <v>44932.5</v>
      </c>
      <c r="F37" s="6">
        <v>10</v>
      </c>
      <c r="G37" s="8" t="s">
        <v>20</v>
      </c>
      <c r="H37" s="8" t="s">
        <v>10</v>
      </c>
      <c r="I37" s="8" t="s">
        <v>10</v>
      </c>
      <c r="J37" s="8" t="s">
        <v>10</v>
      </c>
      <c r="K37" s="8" t="s">
        <v>10</v>
      </c>
      <c r="L37" s="8" t="s">
        <v>10</v>
      </c>
    </row>
    <row r="38" spans="2:12" x14ac:dyDescent="0.35">
      <c r="B38" s="6" t="s">
        <v>108</v>
      </c>
      <c r="C38" s="6" t="s">
        <v>108</v>
      </c>
      <c r="D38" s="7">
        <v>44932.479166666664</v>
      </c>
      <c r="E38" s="7">
        <v>44932.5</v>
      </c>
      <c r="F38" s="6">
        <v>5</v>
      </c>
      <c r="G38" s="8" t="s">
        <v>115</v>
      </c>
      <c r="H38" s="8" t="s">
        <v>10</v>
      </c>
      <c r="I38" s="8" t="s">
        <v>10</v>
      </c>
      <c r="J38" s="8" t="s">
        <v>10</v>
      </c>
      <c r="K38" s="8" t="s">
        <v>10</v>
      </c>
      <c r="L38" s="8" t="s">
        <v>10</v>
      </c>
    </row>
    <row r="39" spans="2:12" x14ac:dyDescent="0.35">
      <c r="B39" s="6" t="s">
        <v>108</v>
      </c>
      <c r="C39" s="6" t="s">
        <v>108</v>
      </c>
      <c r="D39" s="7">
        <v>44932.493055555555</v>
      </c>
      <c r="E39" s="7">
        <v>44932.513888888891</v>
      </c>
      <c r="F39" s="6">
        <v>5</v>
      </c>
      <c r="G39" s="8" t="s">
        <v>125</v>
      </c>
      <c r="H39" s="8" t="s">
        <v>10</v>
      </c>
      <c r="I39" s="8" t="s">
        <v>10</v>
      </c>
      <c r="J39" s="8" t="s">
        <v>10</v>
      </c>
      <c r="K39" s="8" t="s">
        <v>10</v>
      </c>
      <c r="L39" s="8" t="s">
        <v>10</v>
      </c>
    </row>
    <row r="40" spans="2:12" x14ac:dyDescent="0.35">
      <c r="B40" s="6" t="s">
        <v>108</v>
      </c>
      <c r="C40" s="6" t="s">
        <v>108</v>
      </c>
      <c r="D40" s="7">
        <v>44932.5</v>
      </c>
      <c r="E40" s="7">
        <v>44932.541666666664</v>
      </c>
      <c r="F40" s="6">
        <v>10</v>
      </c>
      <c r="G40" s="8" t="s">
        <v>111</v>
      </c>
      <c r="H40" s="8" t="s">
        <v>10</v>
      </c>
      <c r="I40" s="8" t="s">
        <v>10</v>
      </c>
      <c r="J40" s="8" t="s">
        <v>10</v>
      </c>
      <c r="K40" s="8" t="s">
        <v>10</v>
      </c>
      <c r="L40" s="8" t="s">
        <v>10</v>
      </c>
    </row>
    <row r="41" spans="2:12" x14ac:dyDescent="0.35">
      <c r="B41" s="6" t="s">
        <v>108</v>
      </c>
      <c r="C41" s="6" t="s">
        <v>108</v>
      </c>
      <c r="D41" s="7">
        <v>44932.604166666664</v>
      </c>
      <c r="E41" s="7">
        <v>44932.666666666664</v>
      </c>
      <c r="F41" s="6">
        <v>15</v>
      </c>
      <c r="G41" s="8" t="s">
        <v>126</v>
      </c>
      <c r="H41" s="8" t="s">
        <v>10</v>
      </c>
      <c r="I41" s="8" t="s">
        <v>10</v>
      </c>
      <c r="J41" s="8" t="s">
        <v>10</v>
      </c>
      <c r="K41" s="8" t="s">
        <v>10</v>
      </c>
      <c r="L41" s="8" t="s">
        <v>10</v>
      </c>
    </row>
    <row r="42" spans="2:12" x14ac:dyDescent="0.35">
      <c r="B42" s="6" t="s">
        <v>108</v>
      </c>
      <c r="C42" s="6" t="s">
        <v>108</v>
      </c>
      <c r="D42" s="7">
        <v>44932.666666666664</v>
      </c>
      <c r="E42" s="7">
        <v>44932.729166666664</v>
      </c>
      <c r="F42" s="6">
        <v>15</v>
      </c>
      <c r="G42" s="8" t="s">
        <v>21</v>
      </c>
      <c r="H42" s="8" t="s">
        <v>10</v>
      </c>
      <c r="I42" s="8" t="s">
        <v>10</v>
      </c>
      <c r="J42" s="8" t="s">
        <v>10</v>
      </c>
      <c r="K42" s="8" t="s">
        <v>10</v>
      </c>
      <c r="L42" s="8" t="s">
        <v>10</v>
      </c>
    </row>
    <row r="43" spans="2:12" x14ac:dyDescent="0.35">
      <c r="B43" s="6" t="s">
        <v>108</v>
      </c>
      <c r="C43" s="6" t="s">
        <v>108</v>
      </c>
      <c r="D43" s="7">
        <v>44933.479166666664</v>
      </c>
      <c r="E43" s="7">
        <v>44933.5</v>
      </c>
      <c r="F43" s="6">
        <v>5</v>
      </c>
      <c r="G43" s="8" t="s">
        <v>115</v>
      </c>
      <c r="H43" s="8" t="s">
        <v>10</v>
      </c>
      <c r="I43" s="8" t="s">
        <v>10</v>
      </c>
      <c r="J43" s="8" t="s">
        <v>10</v>
      </c>
      <c r="K43" s="8" t="s">
        <v>10</v>
      </c>
      <c r="L43" s="8" t="s">
        <v>10</v>
      </c>
    </row>
    <row r="44" spans="2:12" x14ac:dyDescent="0.35">
      <c r="B44" s="6" t="s">
        <v>108</v>
      </c>
      <c r="C44" s="6" t="s">
        <v>108</v>
      </c>
      <c r="D44" s="7">
        <v>44934.479166666664</v>
      </c>
      <c r="E44" s="7">
        <v>44934.5</v>
      </c>
      <c r="F44" s="6">
        <v>5</v>
      </c>
      <c r="G44" s="8" t="s">
        <v>115</v>
      </c>
      <c r="H44" s="8" t="s">
        <v>10</v>
      </c>
      <c r="I44" s="8" t="s">
        <v>10</v>
      </c>
      <c r="J44" s="8" t="s">
        <v>10</v>
      </c>
      <c r="K44" s="8" t="s">
        <v>10</v>
      </c>
      <c r="L44" s="8" t="s">
        <v>10</v>
      </c>
    </row>
    <row r="45" spans="2:12" x14ac:dyDescent="0.35">
      <c r="B45" s="6" t="s">
        <v>108</v>
      </c>
      <c r="C45" s="6" t="s">
        <v>108</v>
      </c>
      <c r="D45" s="7">
        <v>44935.364583333336</v>
      </c>
      <c r="E45" s="7">
        <v>44935.385416666664</v>
      </c>
      <c r="F45" s="6">
        <v>5</v>
      </c>
      <c r="G45" s="8" t="s">
        <v>9</v>
      </c>
      <c r="H45" s="8" t="s">
        <v>10</v>
      </c>
      <c r="I45" s="8" t="s">
        <v>10</v>
      </c>
      <c r="J45" s="8" t="s">
        <v>10</v>
      </c>
      <c r="K45" s="8" t="s">
        <v>10</v>
      </c>
      <c r="L45" s="8" t="s">
        <v>10</v>
      </c>
    </row>
    <row r="46" spans="2:12" x14ac:dyDescent="0.35">
      <c r="B46" s="6" t="s">
        <v>108</v>
      </c>
      <c r="C46" s="6" t="s">
        <v>108</v>
      </c>
      <c r="D46" s="7">
        <v>44935.385416666664</v>
      </c>
      <c r="E46" s="7">
        <v>44935.427083333336</v>
      </c>
      <c r="F46" s="6">
        <v>10</v>
      </c>
      <c r="G46" s="8" t="s">
        <v>109</v>
      </c>
      <c r="H46" s="8" t="s">
        <v>10</v>
      </c>
      <c r="I46" s="8" t="s">
        <v>10</v>
      </c>
      <c r="J46" s="8" t="s">
        <v>10</v>
      </c>
      <c r="K46" s="8" t="s">
        <v>10</v>
      </c>
      <c r="L46" s="8" t="s">
        <v>10</v>
      </c>
    </row>
    <row r="47" spans="2:12" x14ac:dyDescent="0.35">
      <c r="B47" s="6" t="s">
        <v>108</v>
      </c>
      <c r="C47" s="6" t="s">
        <v>108</v>
      </c>
      <c r="D47" s="7">
        <v>44935.416666666664</v>
      </c>
      <c r="E47" s="7">
        <v>44935.4375</v>
      </c>
      <c r="F47" s="6">
        <v>5</v>
      </c>
      <c r="G47" s="8" t="s">
        <v>22</v>
      </c>
      <c r="H47" s="8" t="s">
        <v>10</v>
      </c>
      <c r="I47" s="8" t="s">
        <v>10</v>
      </c>
      <c r="J47" s="8" t="s">
        <v>10</v>
      </c>
      <c r="K47" s="8" t="s">
        <v>10</v>
      </c>
      <c r="L47" s="8" t="s">
        <v>10</v>
      </c>
    </row>
    <row r="48" spans="2:12" x14ac:dyDescent="0.35">
      <c r="B48" s="6" t="s">
        <v>108</v>
      </c>
      <c r="C48" s="6" t="s">
        <v>108</v>
      </c>
      <c r="D48" s="7">
        <v>44935.4375</v>
      </c>
      <c r="E48" s="7">
        <v>44935.479166666664</v>
      </c>
      <c r="F48" s="6">
        <v>10</v>
      </c>
      <c r="G48" s="8" t="s">
        <v>127</v>
      </c>
      <c r="H48" s="8" t="s">
        <v>10</v>
      </c>
      <c r="I48" s="8" t="s">
        <v>10</v>
      </c>
      <c r="J48" s="8" t="s">
        <v>10</v>
      </c>
      <c r="K48" s="8" t="s">
        <v>10</v>
      </c>
      <c r="L48" s="8" t="s">
        <v>10</v>
      </c>
    </row>
    <row r="49" spans="2:12" x14ac:dyDescent="0.35">
      <c r="B49" s="6" t="s">
        <v>108</v>
      </c>
      <c r="C49" s="6" t="s">
        <v>108</v>
      </c>
      <c r="D49" s="7">
        <v>44935.479166666664</v>
      </c>
      <c r="E49" s="7">
        <v>44935.5</v>
      </c>
      <c r="F49" s="6">
        <v>5</v>
      </c>
      <c r="G49" s="8" t="s">
        <v>115</v>
      </c>
      <c r="H49" s="8" t="s">
        <v>10</v>
      </c>
      <c r="I49" s="8" t="s">
        <v>10</v>
      </c>
      <c r="J49" s="8" t="s">
        <v>10</v>
      </c>
      <c r="K49" s="8" t="s">
        <v>10</v>
      </c>
      <c r="L49" s="8" t="s">
        <v>10</v>
      </c>
    </row>
    <row r="50" spans="2:12" x14ac:dyDescent="0.35">
      <c r="B50" s="6" t="s">
        <v>108</v>
      </c>
      <c r="C50" s="6" t="s">
        <v>108</v>
      </c>
      <c r="D50" s="7">
        <v>44935.489583333336</v>
      </c>
      <c r="E50" s="7">
        <v>44935.5</v>
      </c>
      <c r="F50" s="6">
        <v>25</v>
      </c>
      <c r="G50" s="8" t="s">
        <v>110</v>
      </c>
      <c r="H50" s="8" t="s">
        <v>10</v>
      </c>
      <c r="I50" s="8" t="s">
        <v>10</v>
      </c>
      <c r="J50" s="8" t="s">
        <v>10</v>
      </c>
      <c r="K50" s="8" t="s">
        <v>10</v>
      </c>
      <c r="L50" s="8" t="s">
        <v>10</v>
      </c>
    </row>
    <row r="51" spans="2:12" x14ac:dyDescent="0.35">
      <c r="B51" s="6" t="s">
        <v>108</v>
      </c>
      <c r="C51" s="6" t="s">
        <v>108</v>
      </c>
      <c r="D51" s="7">
        <v>44935.5</v>
      </c>
      <c r="E51" s="7">
        <v>44935.541666666664</v>
      </c>
      <c r="F51" s="6">
        <v>10</v>
      </c>
      <c r="G51" s="8" t="s">
        <v>111</v>
      </c>
      <c r="H51" s="8" t="s">
        <v>10</v>
      </c>
      <c r="I51" s="8" t="s">
        <v>10</v>
      </c>
      <c r="J51" s="8" t="s">
        <v>10</v>
      </c>
      <c r="K51" s="8" t="s">
        <v>10</v>
      </c>
      <c r="L51" s="8" t="s">
        <v>10</v>
      </c>
    </row>
    <row r="52" spans="2:12" x14ac:dyDescent="0.35">
      <c r="B52" s="6" t="s">
        <v>108</v>
      </c>
      <c r="C52" s="6" t="s">
        <v>108</v>
      </c>
      <c r="D52" s="7">
        <v>44935.583333333336</v>
      </c>
      <c r="E52" s="7">
        <v>44935.625</v>
      </c>
      <c r="F52" s="6">
        <v>10</v>
      </c>
      <c r="G52" s="8" t="s">
        <v>23</v>
      </c>
      <c r="H52" s="8" t="s">
        <v>10</v>
      </c>
      <c r="I52" s="8" t="s">
        <v>10</v>
      </c>
      <c r="J52" s="8" t="s">
        <v>10</v>
      </c>
      <c r="K52" s="8" t="s">
        <v>10</v>
      </c>
      <c r="L52" s="8" t="s">
        <v>10</v>
      </c>
    </row>
    <row r="53" spans="2:12" x14ac:dyDescent="0.35">
      <c r="B53" s="6" t="s">
        <v>108</v>
      </c>
      <c r="C53" s="6" t="s">
        <v>108</v>
      </c>
      <c r="D53" s="7">
        <v>44935.625</v>
      </c>
      <c r="E53" s="7">
        <v>44935.666666666664</v>
      </c>
      <c r="F53" s="6">
        <v>10</v>
      </c>
      <c r="G53" s="8" t="s">
        <v>112</v>
      </c>
      <c r="H53" s="8" t="s">
        <v>10</v>
      </c>
      <c r="I53" s="8" t="s">
        <v>10</v>
      </c>
      <c r="J53" s="8" t="s">
        <v>10</v>
      </c>
      <c r="K53" s="8" t="s">
        <v>10</v>
      </c>
      <c r="L53" s="8" t="s">
        <v>10</v>
      </c>
    </row>
    <row r="54" spans="2:12" x14ac:dyDescent="0.35">
      <c r="B54" s="6" t="s">
        <v>108</v>
      </c>
      <c r="C54" s="6" t="s">
        <v>108</v>
      </c>
      <c r="D54" s="7">
        <v>44935.708333333336</v>
      </c>
      <c r="E54" s="7">
        <v>44935.729166666664</v>
      </c>
      <c r="F54" s="6">
        <v>5</v>
      </c>
      <c r="G54" s="8" t="s">
        <v>24</v>
      </c>
      <c r="H54" s="8" t="s">
        <v>10</v>
      </c>
      <c r="I54" s="8" t="s">
        <v>10</v>
      </c>
      <c r="J54" s="8" t="s">
        <v>10</v>
      </c>
      <c r="K54" s="8" t="s">
        <v>10</v>
      </c>
      <c r="L54" s="8" t="s">
        <v>10</v>
      </c>
    </row>
    <row r="55" spans="2:12" x14ac:dyDescent="0.35">
      <c r="B55" s="6" t="s">
        <v>108</v>
      </c>
      <c r="C55" s="6" t="s">
        <v>108</v>
      </c>
      <c r="D55" s="7">
        <v>44936.364583333336</v>
      </c>
      <c r="E55" s="7">
        <v>44936.385416666664</v>
      </c>
      <c r="F55" s="6">
        <v>5</v>
      </c>
      <c r="G55" s="8" t="s">
        <v>9</v>
      </c>
      <c r="H55" s="8" t="s">
        <v>10</v>
      </c>
      <c r="I55" s="8" t="s">
        <v>10</v>
      </c>
      <c r="J55" s="8" t="s">
        <v>10</v>
      </c>
      <c r="K55" s="8" t="s">
        <v>10</v>
      </c>
      <c r="L55" s="8" t="s">
        <v>10</v>
      </c>
    </row>
    <row r="56" spans="2:12" x14ac:dyDescent="0.35">
      <c r="B56" s="6" t="s">
        <v>108</v>
      </c>
      <c r="C56" s="6" t="s">
        <v>108</v>
      </c>
      <c r="D56" s="7">
        <v>44936.395833333336</v>
      </c>
      <c r="E56" s="7">
        <v>44936.416666666664</v>
      </c>
      <c r="F56" s="6">
        <v>5</v>
      </c>
      <c r="G56" s="8" t="s">
        <v>113</v>
      </c>
      <c r="H56" s="8" t="s">
        <v>10</v>
      </c>
      <c r="I56" s="8" t="s">
        <v>10</v>
      </c>
      <c r="J56" s="8" t="s">
        <v>10</v>
      </c>
      <c r="K56" s="8" t="s">
        <v>10</v>
      </c>
      <c r="L56" s="8" t="s">
        <v>10</v>
      </c>
    </row>
    <row r="57" spans="2:12" x14ac:dyDescent="0.35">
      <c r="B57" s="6" t="s">
        <v>108</v>
      </c>
      <c r="C57" s="6" t="s">
        <v>108</v>
      </c>
      <c r="D57" s="7">
        <v>44936.416666666664</v>
      </c>
      <c r="E57" s="7">
        <v>44936.5</v>
      </c>
      <c r="F57" s="6">
        <v>20</v>
      </c>
      <c r="G57" s="8" t="s">
        <v>128</v>
      </c>
      <c r="H57" s="8" t="s">
        <v>10</v>
      </c>
      <c r="I57" s="8" t="s">
        <v>10</v>
      </c>
      <c r="J57" s="8" t="s">
        <v>10</v>
      </c>
      <c r="K57" s="8" t="s">
        <v>10</v>
      </c>
      <c r="L57" s="8" t="s">
        <v>10</v>
      </c>
    </row>
    <row r="58" spans="2:12" x14ac:dyDescent="0.35">
      <c r="B58" s="6" t="s">
        <v>108</v>
      </c>
      <c r="C58" s="6" t="s">
        <v>108</v>
      </c>
      <c r="D58" s="7">
        <v>44936.479166666664</v>
      </c>
      <c r="E58" s="7">
        <v>44936.5</v>
      </c>
      <c r="F58" s="6">
        <v>5</v>
      </c>
      <c r="G58" s="8" t="s">
        <v>12</v>
      </c>
      <c r="H58" s="8" t="s">
        <v>10</v>
      </c>
      <c r="I58" s="8" t="s">
        <v>10</v>
      </c>
      <c r="J58" s="8" t="s">
        <v>10</v>
      </c>
      <c r="K58" s="8" t="s">
        <v>10</v>
      </c>
      <c r="L58" s="8" t="s">
        <v>10</v>
      </c>
    </row>
    <row r="59" spans="2:12" x14ac:dyDescent="0.35">
      <c r="B59" s="6" t="s">
        <v>108</v>
      </c>
      <c r="C59" s="6" t="s">
        <v>108</v>
      </c>
      <c r="D59" s="7">
        <v>44936.479166666664</v>
      </c>
      <c r="E59" s="7">
        <v>44936.5</v>
      </c>
      <c r="F59" s="6">
        <v>5</v>
      </c>
      <c r="G59" s="8" t="s">
        <v>115</v>
      </c>
      <c r="H59" s="8" t="s">
        <v>10</v>
      </c>
      <c r="I59" s="8" t="s">
        <v>10</v>
      </c>
      <c r="J59" s="8" t="s">
        <v>10</v>
      </c>
      <c r="K59" s="8" t="s">
        <v>10</v>
      </c>
      <c r="L59" s="8" t="s">
        <v>10</v>
      </c>
    </row>
    <row r="60" spans="2:12" x14ac:dyDescent="0.35">
      <c r="B60" s="6" t="s">
        <v>108</v>
      </c>
      <c r="C60" s="6" t="s">
        <v>108</v>
      </c>
      <c r="D60" s="7">
        <v>44936.5</v>
      </c>
      <c r="E60" s="7">
        <v>44936.541666666664</v>
      </c>
      <c r="F60" s="6">
        <v>10</v>
      </c>
      <c r="G60" s="8" t="s">
        <v>111</v>
      </c>
      <c r="H60" s="8" t="s">
        <v>10</v>
      </c>
      <c r="I60" s="8" t="s">
        <v>10</v>
      </c>
      <c r="J60" s="8" t="s">
        <v>10</v>
      </c>
      <c r="K60" s="8" t="s">
        <v>10</v>
      </c>
      <c r="L60" s="8" t="s">
        <v>10</v>
      </c>
    </row>
    <row r="61" spans="2:12" x14ac:dyDescent="0.35">
      <c r="B61" s="6" t="s">
        <v>108</v>
      </c>
      <c r="C61" s="6" t="s">
        <v>108</v>
      </c>
      <c r="D61" s="7">
        <v>44936.510416666664</v>
      </c>
      <c r="E61" s="7">
        <v>44936.552083333336</v>
      </c>
      <c r="F61" s="6">
        <v>10</v>
      </c>
      <c r="G61" s="8" t="s">
        <v>116</v>
      </c>
      <c r="H61" s="8" t="s">
        <v>10</v>
      </c>
      <c r="I61" s="8" t="s">
        <v>10</v>
      </c>
      <c r="J61" s="8" t="s">
        <v>10</v>
      </c>
      <c r="K61" s="8" t="s">
        <v>10</v>
      </c>
      <c r="L61" s="8" t="s">
        <v>10</v>
      </c>
    </row>
    <row r="62" spans="2:12" x14ac:dyDescent="0.35">
      <c r="B62" s="6" t="s">
        <v>108</v>
      </c>
      <c r="C62" s="6" t="s">
        <v>108</v>
      </c>
      <c r="D62" s="7">
        <v>44936.541666666664</v>
      </c>
      <c r="E62" s="7">
        <v>44936.583333333336</v>
      </c>
      <c r="F62" s="6">
        <v>10</v>
      </c>
      <c r="G62" s="8" t="s">
        <v>25</v>
      </c>
      <c r="H62" s="8" t="s">
        <v>10</v>
      </c>
      <c r="I62" s="8" t="s">
        <v>10</v>
      </c>
      <c r="J62" s="8" t="s">
        <v>10</v>
      </c>
      <c r="K62" s="8" t="s">
        <v>10</v>
      </c>
      <c r="L62" s="8" t="s">
        <v>10</v>
      </c>
    </row>
    <row r="63" spans="2:12" x14ac:dyDescent="0.35">
      <c r="B63" s="6" t="s">
        <v>108</v>
      </c>
      <c r="C63" s="6" t="s">
        <v>108</v>
      </c>
      <c r="D63" s="7">
        <v>44936.5625</v>
      </c>
      <c r="E63" s="7">
        <v>44936.583333333336</v>
      </c>
      <c r="F63" s="6">
        <v>5</v>
      </c>
      <c r="G63" s="8" t="s">
        <v>129</v>
      </c>
      <c r="H63" s="8" t="s">
        <v>10</v>
      </c>
      <c r="I63" s="8" t="s">
        <v>10</v>
      </c>
      <c r="J63" s="8" t="s">
        <v>10</v>
      </c>
      <c r="K63" s="8" t="s">
        <v>10</v>
      </c>
      <c r="L63" s="8" t="s">
        <v>10</v>
      </c>
    </row>
    <row r="64" spans="2:12" x14ac:dyDescent="0.35">
      <c r="B64" s="6" t="s">
        <v>108</v>
      </c>
      <c r="C64" s="6" t="s">
        <v>108</v>
      </c>
      <c r="D64" s="7">
        <v>44936.604166666664</v>
      </c>
      <c r="E64" s="7">
        <v>44936.645833333336</v>
      </c>
      <c r="F64" s="6">
        <v>10</v>
      </c>
      <c r="G64" s="8" t="s">
        <v>26</v>
      </c>
      <c r="H64" s="8" t="s">
        <v>10</v>
      </c>
      <c r="I64" s="8" t="s">
        <v>10</v>
      </c>
      <c r="J64" s="8" t="s">
        <v>10</v>
      </c>
      <c r="K64" s="8" t="s">
        <v>10</v>
      </c>
      <c r="L64" s="8" t="s">
        <v>10</v>
      </c>
    </row>
    <row r="65" spans="2:12" x14ac:dyDescent="0.35">
      <c r="B65" s="6" t="s">
        <v>108</v>
      </c>
      <c r="C65" s="6" t="s">
        <v>108</v>
      </c>
      <c r="D65" s="7">
        <v>44936.666666666664</v>
      </c>
      <c r="E65" s="7">
        <v>44936.708333333336</v>
      </c>
      <c r="F65" s="6">
        <v>10</v>
      </c>
      <c r="G65" s="8" t="s">
        <v>27</v>
      </c>
      <c r="H65" s="8" t="s">
        <v>10</v>
      </c>
      <c r="I65" s="8" t="s">
        <v>10</v>
      </c>
      <c r="J65" s="8" t="s">
        <v>10</v>
      </c>
      <c r="K65" s="8" t="s">
        <v>10</v>
      </c>
      <c r="L65" s="8" t="s">
        <v>10</v>
      </c>
    </row>
    <row r="66" spans="2:12" x14ac:dyDescent="0.35">
      <c r="B66" s="6" t="s">
        <v>108</v>
      </c>
      <c r="C66" s="6" t="s">
        <v>108</v>
      </c>
      <c r="D66" s="7">
        <v>44936.708333333336</v>
      </c>
      <c r="E66" s="7">
        <v>44936.729166666664</v>
      </c>
      <c r="F66" s="6">
        <v>5</v>
      </c>
      <c r="G66" s="8" t="s">
        <v>130</v>
      </c>
      <c r="H66" s="8" t="s">
        <v>10</v>
      </c>
      <c r="I66" s="8" t="s">
        <v>10</v>
      </c>
      <c r="J66" s="8" t="s">
        <v>10</v>
      </c>
      <c r="K66" s="8" t="s">
        <v>10</v>
      </c>
      <c r="L66" s="8" t="s">
        <v>10</v>
      </c>
    </row>
    <row r="67" spans="2:12" x14ac:dyDescent="0.35">
      <c r="B67" s="6" t="s">
        <v>108</v>
      </c>
      <c r="C67" s="6" t="s">
        <v>108</v>
      </c>
      <c r="D67" s="7">
        <v>44937.364583333336</v>
      </c>
      <c r="E67" s="7">
        <v>44937.385416666664</v>
      </c>
      <c r="F67" s="6">
        <v>5</v>
      </c>
      <c r="G67" s="8" t="s">
        <v>9</v>
      </c>
      <c r="H67" s="8" t="s">
        <v>10</v>
      </c>
      <c r="I67" s="8" t="s">
        <v>10</v>
      </c>
      <c r="J67" s="8" t="s">
        <v>10</v>
      </c>
      <c r="K67" s="8" t="s">
        <v>10</v>
      </c>
      <c r="L67" s="8" t="s">
        <v>10</v>
      </c>
    </row>
    <row r="68" spans="2:12" x14ac:dyDescent="0.35">
      <c r="B68" s="6" t="s">
        <v>108</v>
      </c>
      <c r="C68" s="6" t="s">
        <v>108</v>
      </c>
      <c r="D68" s="7">
        <v>44937.395833333336</v>
      </c>
      <c r="E68" s="7">
        <v>44937.416666666664</v>
      </c>
      <c r="F68" s="6">
        <v>5</v>
      </c>
      <c r="G68" s="8" t="s">
        <v>28</v>
      </c>
      <c r="H68" s="8" t="s">
        <v>10</v>
      </c>
      <c r="I68" s="8" t="s">
        <v>10</v>
      </c>
      <c r="J68" s="8" t="s">
        <v>10</v>
      </c>
      <c r="K68" s="8" t="s">
        <v>10</v>
      </c>
      <c r="L68" s="8" t="s">
        <v>10</v>
      </c>
    </row>
    <row r="69" spans="2:12" x14ac:dyDescent="0.35">
      <c r="B69" s="6" t="s">
        <v>108</v>
      </c>
      <c r="C69" s="6" t="s">
        <v>108</v>
      </c>
      <c r="D69" s="7">
        <v>44937.416666666664</v>
      </c>
      <c r="E69" s="7">
        <v>44937.458333333336</v>
      </c>
      <c r="F69" s="6">
        <v>10</v>
      </c>
      <c r="G69" s="8" t="s">
        <v>29</v>
      </c>
      <c r="H69" s="8" t="s">
        <v>10</v>
      </c>
      <c r="I69" s="8" t="s">
        <v>10</v>
      </c>
      <c r="J69" s="8" t="s">
        <v>10</v>
      </c>
      <c r="K69" s="8" t="s">
        <v>10</v>
      </c>
      <c r="L69" s="8" t="s">
        <v>10</v>
      </c>
    </row>
    <row r="70" spans="2:12" x14ac:dyDescent="0.35">
      <c r="B70" s="6" t="s">
        <v>108</v>
      </c>
      <c r="C70" s="6" t="s">
        <v>108</v>
      </c>
      <c r="D70" s="7">
        <v>44937.458333333336</v>
      </c>
      <c r="E70" s="7">
        <v>44937.479166666664</v>
      </c>
      <c r="F70" s="6">
        <v>5</v>
      </c>
      <c r="G70" s="8" t="s">
        <v>14</v>
      </c>
      <c r="H70" s="8" t="s">
        <v>10</v>
      </c>
      <c r="I70" s="8" t="s">
        <v>10</v>
      </c>
      <c r="J70" s="8" t="s">
        <v>10</v>
      </c>
      <c r="K70" s="8" t="s">
        <v>10</v>
      </c>
      <c r="L70" s="8" t="s">
        <v>10</v>
      </c>
    </row>
    <row r="71" spans="2:12" x14ac:dyDescent="0.35">
      <c r="B71" s="6" t="s">
        <v>108</v>
      </c>
      <c r="C71" s="6" t="s">
        <v>108</v>
      </c>
      <c r="D71" s="7">
        <v>44937.479166666664</v>
      </c>
      <c r="E71" s="7">
        <v>44937.5</v>
      </c>
      <c r="F71" s="6">
        <v>5</v>
      </c>
      <c r="G71" s="8" t="s">
        <v>115</v>
      </c>
      <c r="H71" s="8" t="s">
        <v>10</v>
      </c>
      <c r="I71" s="8" t="s">
        <v>10</v>
      </c>
      <c r="J71" s="8" t="s">
        <v>10</v>
      </c>
      <c r="K71" s="8" t="s">
        <v>10</v>
      </c>
      <c r="L71" s="8" t="s">
        <v>10</v>
      </c>
    </row>
    <row r="72" spans="2:12" x14ac:dyDescent="0.35">
      <c r="B72" s="6" t="s">
        <v>108</v>
      </c>
      <c r="C72" s="6" t="s">
        <v>108</v>
      </c>
      <c r="D72" s="7">
        <v>44937.479166666664</v>
      </c>
      <c r="E72" s="7">
        <v>44937.5</v>
      </c>
      <c r="F72" s="6">
        <v>5</v>
      </c>
      <c r="G72" s="8" t="s">
        <v>15</v>
      </c>
      <c r="H72" s="8" t="s">
        <v>10</v>
      </c>
      <c r="I72" s="8" t="s">
        <v>10</v>
      </c>
      <c r="J72" s="8" t="s">
        <v>10</v>
      </c>
      <c r="K72" s="8" t="s">
        <v>10</v>
      </c>
      <c r="L72" s="8" t="s">
        <v>10</v>
      </c>
    </row>
    <row r="73" spans="2:12" x14ac:dyDescent="0.35">
      <c r="B73" s="6" t="s">
        <v>108</v>
      </c>
      <c r="C73" s="6" t="s">
        <v>108</v>
      </c>
      <c r="D73" s="7">
        <v>44937.5</v>
      </c>
      <c r="E73" s="7">
        <v>44937.541666666664</v>
      </c>
      <c r="F73" s="6">
        <v>10</v>
      </c>
      <c r="G73" s="8" t="s">
        <v>111</v>
      </c>
      <c r="H73" s="8" t="s">
        <v>10</v>
      </c>
      <c r="I73" s="8" t="s">
        <v>10</v>
      </c>
      <c r="J73" s="8" t="s">
        <v>10</v>
      </c>
      <c r="K73" s="8" t="s">
        <v>10</v>
      </c>
      <c r="L73" s="8" t="s">
        <v>10</v>
      </c>
    </row>
    <row r="74" spans="2:12" x14ac:dyDescent="0.35">
      <c r="B74" s="6" t="s">
        <v>108</v>
      </c>
      <c r="C74" s="6" t="s">
        <v>108</v>
      </c>
      <c r="D74" s="7">
        <v>44937.5625</v>
      </c>
      <c r="E74" s="7">
        <v>44937.583333333336</v>
      </c>
      <c r="F74" s="6">
        <v>5</v>
      </c>
      <c r="G74" s="8" t="s">
        <v>131</v>
      </c>
      <c r="H74" s="8" t="s">
        <v>10</v>
      </c>
      <c r="I74" s="8" t="s">
        <v>10</v>
      </c>
      <c r="J74" s="8" t="s">
        <v>10</v>
      </c>
      <c r="K74" s="8" t="s">
        <v>10</v>
      </c>
      <c r="L74" s="8" t="s">
        <v>10</v>
      </c>
    </row>
    <row r="75" spans="2:12" x14ac:dyDescent="0.35">
      <c r="B75" s="6" t="s">
        <v>108</v>
      </c>
      <c r="C75" s="6" t="s">
        <v>108</v>
      </c>
      <c r="D75" s="7">
        <v>44937.583333333336</v>
      </c>
      <c r="E75" s="7">
        <v>44937.604166666664</v>
      </c>
      <c r="F75" s="6">
        <v>5</v>
      </c>
      <c r="G75" s="8" t="s">
        <v>30</v>
      </c>
      <c r="H75" s="8" t="s">
        <v>10</v>
      </c>
      <c r="I75" s="8" t="s">
        <v>10</v>
      </c>
      <c r="J75" s="8" t="s">
        <v>10</v>
      </c>
      <c r="K75" s="8" t="s">
        <v>10</v>
      </c>
      <c r="L75" s="8" t="s">
        <v>10</v>
      </c>
    </row>
    <row r="76" spans="2:12" x14ac:dyDescent="0.35">
      <c r="B76" s="6" t="s">
        <v>108</v>
      </c>
      <c r="C76" s="6" t="s">
        <v>108</v>
      </c>
      <c r="D76" s="7">
        <v>44937.583333333336</v>
      </c>
      <c r="E76" s="7">
        <v>44937.666666666664</v>
      </c>
      <c r="F76" s="6">
        <v>20</v>
      </c>
      <c r="G76" s="8" t="s">
        <v>132</v>
      </c>
      <c r="H76" s="8" t="s">
        <v>10</v>
      </c>
      <c r="I76" s="8" t="s">
        <v>10</v>
      </c>
      <c r="J76" s="8" t="s">
        <v>10</v>
      </c>
      <c r="K76" s="8" t="s">
        <v>10</v>
      </c>
      <c r="L76" s="8" t="s">
        <v>10</v>
      </c>
    </row>
    <row r="77" spans="2:12" x14ac:dyDescent="0.35">
      <c r="B77" s="6" t="s">
        <v>108</v>
      </c>
      <c r="C77" s="6" t="s">
        <v>108</v>
      </c>
      <c r="D77" s="7">
        <v>44937.666666666664</v>
      </c>
      <c r="E77" s="7">
        <v>44937.708333333336</v>
      </c>
      <c r="F77" s="6">
        <v>10</v>
      </c>
      <c r="G77" s="8" t="s">
        <v>133</v>
      </c>
      <c r="H77" s="8" t="s">
        <v>10</v>
      </c>
      <c r="I77" s="8" t="s">
        <v>10</v>
      </c>
      <c r="J77" s="8" t="s">
        <v>10</v>
      </c>
      <c r="K77" s="8" t="s">
        <v>10</v>
      </c>
      <c r="L77" s="8" t="s">
        <v>10</v>
      </c>
    </row>
    <row r="78" spans="2:12" x14ac:dyDescent="0.35">
      <c r="B78" s="6" t="s">
        <v>108</v>
      </c>
      <c r="C78" s="6" t="s">
        <v>108</v>
      </c>
      <c r="D78" s="7">
        <v>44937.708333333336</v>
      </c>
      <c r="E78" s="7">
        <v>44937.729166666664</v>
      </c>
      <c r="F78" s="6">
        <v>5</v>
      </c>
      <c r="G78" s="8" t="s">
        <v>31</v>
      </c>
      <c r="H78" s="8" t="s">
        <v>10</v>
      </c>
      <c r="I78" s="8" t="s">
        <v>10</v>
      </c>
      <c r="J78" s="8" t="s">
        <v>10</v>
      </c>
      <c r="K78" s="8" t="s">
        <v>10</v>
      </c>
      <c r="L78" s="8" t="s">
        <v>10</v>
      </c>
    </row>
    <row r="79" spans="2:12" x14ac:dyDescent="0.35">
      <c r="B79" s="6" t="s">
        <v>108</v>
      </c>
      <c r="C79" s="6" t="s">
        <v>108</v>
      </c>
      <c r="D79" s="7">
        <v>44938.364583333336</v>
      </c>
      <c r="E79" s="7">
        <v>44938.385416666664</v>
      </c>
      <c r="F79" s="6">
        <v>5</v>
      </c>
      <c r="G79" s="8" t="s">
        <v>9</v>
      </c>
      <c r="H79" s="8" t="s">
        <v>10</v>
      </c>
      <c r="I79" s="8" t="s">
        <v>10</v>
      </c>
      <c r="J79" s="8" t="s">
        <v>10</v>
      </c>
      <c r="K79" s="8" t="s">
        <v>10</v>
      </c>
      <c r="L79" s="8" t="s">
        <v>10</v>
      </c>
    </row>
    <row r="80" spans="2:12" x14ac:dyDescent="0.35">
      <c r="B80" s="6" t="s">
        <v>108</v>
      </c>
      <c r="C80" s="6" t="s">
        <v>108</v>
      </c>
      <c r="D80" s="7">
        <v>44938.416666666664</v>
      </c>
      <c r="E80" s="7">
        <v>44938.458333333336</v>
      </c>
      <c r="F80" s="6">
        <v>10</v>
      </c>
      <c r="G80" s="8" t="s">
        <v>32</v>
      </c>
      <c r="H80" s="8" t="s">
        <v>10</v>
      </c>
      <c r="I80" s="8" t="s">
        <v>10</v>
      </c>
      <c r="J80" s="8" t="s">
        <v>10</v>
      </c>
      <c r="K80" s="8" t="s">
        <v>10</v>
      </c>
      <c r="L80" s="8" t="s">
        <v>10</v>
      </c>
    </row>
    <row r="81" spans="2:12" x14ac:dyDescent="0.35">
      <c r="B81" s="6" t="s">
        <v>108</v>
      </c>
      <c r="C81" s="6" t="s">
        <v>108</v>
      </c>
      <c r="D81" s="7">
        <v>44938.458333333336</v>
      </c>
      <c r="E81" s="7">
        <v>44938.5</v>
      </c>
      <c r="F81" s="6">
        <v>10</v>
      </c>
      <c r="G81" s="8" t="s">
        <v>120</v>
      </c>
      <c r="H81" s="8" t="s">
        <v>10</v>
      </c>
      <c r="I81" s="8" t="s">
        <v>10</v>
      </c>
      <c r="J81" s="8" t="s">
        <v>10</v>
      </c>
      <c r="K81" s="8" t="s">
        <v>10</v>
      </c>
      <c r="L81" s="8" t="s">
        <v>10</v>
      </c>
    </row>
    <row r="82" spans="2:12" x14ac:dyDescent="0.35">
      <c r="B82" s="6" t="s">
        <v>108</v>
      </c>
      <c r="C82" s="6" t="s">
        <v>108</v>
      </c>
      <c r="D82" s="7">
        <v>44938.479166666664</v>
      </c>
      <c r="E82" s="7">
        <v>44938.5</v>
      </c>
      <c r="F82" s="6">
        <v>5</v>
      </c>
      <c r="G82" s="8" t="s">
        <v>115</v>
      </c>
      <c r="H82" s="8" t="s">
        <v>10</v>
      </c>
      <c r="I82" s="8" t="s">
        <v>10</v>
      </c>
      <c r="J82" s="8" t="s">
        <v>10</v>
      </c>
      <c r="K82" s="8" t="s">
        <v>10</v>
      </c>
      <c r="L82" s="8" t="s">
        <v>10</v>
      </c>
    </row>
    <row r="83" spans="2:12" x14ac:dyDescent="0.35">
      <c r="B83" s="6" t="s">
        <v>108</v>
      </c>
      <c r="C83" s="6" t="s">
        <v>108</v>
      </c>
      <c r="D83" s="7">
        <v>44938.5</v>
      </c>
      <c r="E83" s="7">
        <v>44938.541666666664</v>
      </c>
      <c r="F83" s="6">
        <v>10</v>
      </c>
      <c r="G83" s="8" t="s">
        <v>111</v>
      </c>
      <c r="H83" s="8" t="s">
        <v>10</v>
      </c>
      <c r="I83" s="8" t="s">
        <v>10</v>
      </c>
      <c r="J83" s="8" t="s">
        <v>10</v>
      </c>
      <c r="K83" s="8" t="s">
        <v>10</v>
      </c>
      <c r="L83" s="8" t="s">
        <v>10</v>
      </c>
    </row>
    <row r="84" spans="2:12" x14ac:dyDescent="0.35">
      <c r="B84" s="6" t="s">
        <v>108</v>
      </c>
      <c r="C84" s="6" t="s">
        <v>108</v>
      </c>
      <c r="D84" s="7">
        <v>44938.510416666664</v>
      </c>
      <c r="E84" s="7">
        <v>44938.552083333336</v>
      </c>
      <c r="F84" s="6">
        <v>10</v>
      </c>
      <c r="G84" s="8" t="s">
        <v>116</v>
      </c>
      <c r="H84" s="8" t="s">
        <v>10</v>
      </c>
      <c r="I84" s="8" t="s">
        <v>10</v>
      </c>
      <c r="J84" s="8" t="s">
        <v>10</v>
      </c>
      <c r="K84" s="8" t="s">
        <v>10</v>
      </c>
      <c r="L84" s="8" t="s">
        <v>10</v>
      </c>
    </row>
    <row r="85" spans="2:12" x14ac:dyDescent="0.35">
      <c r="B85" s="6" t="s">
        <v>108</v>
      </c>
      <c r="C85" s="6" t="s">
        <v>108</v>
      </c>
      <c r="D85" s="7">
        <v>44938.583333333336</v>
      </c>
      <c r="E85" s="7">
        <v>44938.604166666664</v>
      </c>
      <c r="F85" s="6">
        <v>5</v>
      </c>
      <c r="G85" s="8" t="s">
        <v>33</v>
      </c>
      <c r="H85" s="8" t="s">
        <v>10</v>
      </c>
      <c r="I85" s="8" t="s">
        <v>10</v>
      </c>
      <c r="J85" s="8" t="s">
        <v>10</v>
      </c>
      <c r="K85" s="8" t="s">
        <v>10</v>
      </c>
      <c r="L85" s="8" t="s">
        <v>10</v>
      </c>
    </row>
    <row r="86" spans="2:12" x14ac:dyDescent="0.35">
      <c r="B86" s="6" t="s">
        <v>108</v>
      </c>
      <c r="C86" s="6" t="s">
        <v>108</v>
      </c>
      <c r="D86" s="7">
        <v>44938.625</v>
      </c>
      <c r="E86" s="7">
        <v>44938.666666666664</v>
      </c>
      <c r="F86" s="6">
        <v>10</v>
      </c>
      <c r="G86" s="8" t="s">
        <v>34</v>
      </c>
      <c r="H86" s="8" t="s">
        <v>10</v>
      </c>
      <c r="I86" s="8" t="s">
        <v>10</v>
      </c>
      <c r="J86" s="8" t="s">
        <v>10</v>
      </c>
      <c r="K86" s="8" t="s">
        <v>10</v>
      </c>
      <c r="L86" s="8" t="s">
        <v>10</v>
      </c>
    </row>
    <row r="87" spans="2:12" x14ac:dyDescent="0.35">
      <c r="B87" s="6" t="s">
        <v>108</v>
      </c>
      <c r="C87" s="6" t="s">
        <v>108</v>
      </c>
      <c r="D87" s="7">
        <v>44938.666666666664</v>
      </c>
      <c r="E87" s="7">
        <v>44938.708333333336</v>
      </c>
      <c r="F87" s="6">
        <v>10</v>
      </c>
      <c r="G87" s="8" t="s">
        <v>17</v>
      </c>
      <c r="H87" s="8" t="s">
        <v>10</v>
      </c>
      <c r="I87" s="8" t="s">
        <v>10</v>
      </c>
      <c r="J87" s="8" t="s">
        <v>10</v>
      </c>
      <c r="K87" s="8" t="s">
        <v>10</v>
      </c>
      <c r="L87" s="8" t="s">
        <v>10</v>
      </c>
    </row>
    <row r="88" spans="2:12" x14ac:dyDescent="0.35">
      <c r="B88" s="6" t="s">
        <v>108</v>
      </c>
      <c r="C88" s="6" t="s">
        <v>108</v>
      </c>
      <c r="D88" s="7">
        <v>44938.666666666664</v>
      </c>
      <c r="E88" s="7">
        <v>44938.708333333336</v>
      </c>
      <c r="F88" s="6">
        <v>10</v>
      </c>
      <c r="G88" s="8" t="s">
        <v>134</v>
      </c>
      <c r="H88" s="8" t="s">
        <v>10</v>
      </c>
      <c r="I88" s="8" t="s">
        <v>10</v>
      </c>
      <c r="J88" s="8" t="s">
        <v>10</v>
      </c>
      <c r="K88" s="8" t="s">
        <v>10</v>
      </c>
      <c r="L88" s="8" t="s">
        <v>10</v>
      </c>
    </row>
    <row r="89" spans="2:12" x14ac:dyDescent="0.35">
      <c r="B89" s="6" t="s">
        <v>108</v>
      </c>
      <c r="C89" s="6" t="s">
        <v>108</v>
      </c>
      <c r="D89" s="7">
        <v>44938.708333333336</v>
      </c>
      <c r="E89" s="7">
        <v>44938.75</v>
      </c>
      <c r="F89" s="6">
        <v>10</v>
      </c>
      <c r="G89" s="8" t="s">
        <v>35</v>
      </c>
      <c r="H89" s="8" t="s">
        <v>10</v>
      </c>
      <c r="I89" s="8" t="s">
        <v>10</v>
      </c>
      <c r="J89" s="8" t="s">
        <v>10</v>
      </c>
      <c r="K89" s="8" t="s">
        <v>10</v>
      </c>
      <c r="L89" s="8" t="s">
        <v>10</v>
      </c>
    </row>
    <row r="90" spans="2:12" x14ac:dyDescent="0.35">
      <c r="B90" s="6" t="s">
        <v>108</v>
      </c>
      <c r="C90" s="6" t="s">
        <v>108</v>
      </c>
      <c r="D90" s="7">
        <v>44939.333333333336</v>
      </c>
      <c r="E90" s="7">
        <v>44939.375</v>
      </c>
      <c r="F90" s="6">
        <v>10</v>
      </c>
      <c r="G90" s="8" t="s">
        <v>36</v>
      </c>
      <c r="H90" s="8" t="s">
        <v>10</v>
      </c>
      <c r="I90" s="8" t="s">
        <v>10</v>
      </c>
      <c r="J90" s="8" t="s">
        <v>10</v>
      </c>
      <c r="K90" s="8" t="s">
        <v>10</v>
      </c>
      <c r="L90" s="8" t="s">
        <v>10</v>
      </c>
    </row>
    <row r="91" spans="2:12" x14ac:dyDescent="0.35">
      <c r="B91" s="6" t="s">
        <v>108</v>
      </c>
      <c r="C91" s="6" t="s">
        <v>108</v>
      </c>
      <c r="D91" s="7">
        <v>44939.479166666664</v>
      </c>
      <c r="E91" s="7">
        <v>44939.5</v>
      </c>
      <c r="F91" s="6">
        <v>5</v>
      </c>
      <c r="G91" s="8" t="s">
        <v>115</v>
      </c>
      <c r="H91" s="8" t="s">
        <v>10</v>
      </c>
      <c r="I91" s="8" t="s">
        <v>10</v>
      </c>
      <c r="J91" s="8" t="s">
        <v>10</v>
      </c>
      <c r="K91" s="8" t="s">
        <v>10</v>
      </c>
      <c r="L91" s="8" t="s">
        <v>10</v>
      </c>
    </row>
    <row r="92" spans="2:12" x14ac:dyDescent="0.35">
      <c r="B92" s="6" t="s">
        <v>108</v>
      </c>
      <c r="C92" s="6" t="s">
        <v>108</v>
      </c>
      <c r="D92" s="7">
        <v>44939.5</v>
      </c>
      <c r="E92" s="7">
        <v>44939.541666666664</v>
      </c>
      <c r="F92" s="6">
        <v>10</v>
      </c>
      <c r="G92" s="8" t="s">
        <v>111</v>
      </c>
      <c r="H92" s="8" t="s">
        <v>10</v>
      </c>
      <c r="I92" s="8" t="s">
        <v>10</v>
      </c>
      <c r="J92" s="8" t="s">
        <v>10</v>
      </c>
      <c r="K92" s="8" t="s">
        <v>10</v>
      </c>
      <c r="L92" s="8" t="s">
        <v>10</v>
      </c>
    </row>
    <row r="93" spans="2:12" x14ac:dyDescent="0.35">
      <c r="B93" s="6" t="s">
        <v>108</v>
      </c>
      <c r="C93" s="6" t="s">
        <v>108</v>
      </c>
      <c r="D93" s="7">
        <v>44939.541666666664</v>
      </c>
      <c r="E93" s="7">
        <v>44939.583333333336</v>
      </c>
      <c r="F93" s="6">
        <v>10</v>
      </c>
      <c r="G93" s="8" t="s">
        <v>37</v>
      </c>
      <c r="H93" s="8" t="s">
        <v>10</v>
      </c>
      <c r="I93" s="8" t="s">
        <v>10</v>
      </c>
      <c r="J93" s="8" t="s">
        <v>10</v>
      </c>
      <c r="K93" s="8" t="s">
        <v>10</v>
      </c>
      <c r="L93" s="8" t="s">
        <v>10</v>
      </c>
    </row>
    <row r="94" spans="2:12" x14ac:dyDescent="0.35">
      <c r="B94" s="6" t="s">
        <v>108</v>
      </c>
      <c r="C94" s="6" t="s">
        <v>108</v>
      </c>
      <c r="D94" s="7">
        <v>44939.5625</v>
      </c>
      <c r="E94" s="7">
        <v>44939.666666666664</v>
      </c>
      <c r="F94" s="6">
        <v>25</v>
      </c>
      <c r="G94" s="8" t="s">
        <v>38</v>
      </c>
      <c r="H94" s="8" t="s">
        <v>10</v>
      </c>
      <c r="I94" s="8" t="s">
        <v>10</v>
      </c>
      <c r="J94" s="8" t="s">
        <v>10</v>
      </c>
      <c r="K94" s="8" t="s">
        <v>10</v>
      </c>
      <c r="L94" s="8" t="s">
        <v>10</v>
      </c>
    </row>
    <row r="95" spans="2:12" x14ac:dyDescent="0.35">
      <c r="B95" s="6" t="s">
        <v>108</v>
      </c>
      <c r="C95" s="6" t="s">
        <v>108</v>
      </c>
      <c r="D95" s="7">
        <v>44939.5625</v>
      </c>
      <c r="E95" s="7">
        <v>44939.572916666664</v>
      </c>
      <c r="F95" s="6">
        <v>25</v>
      </c>
      <c r="G95" s="8" t="s">
        <v>39</v>
      </c>
      <c r="H95" s="8" t="s">
        <v>10</v>
      </c>
      <c r="I95" s="8" t="s">
        <v>10</v>
      </c>
      <c r="J95" s="8" t="s">
        <v>10</v>
      </c>
      <c r="K95" s="8" t="s">
        <v>10</v>
      </c>
      <c r="L95" s="8" t="s">
        <v>10</v>
      </c>
    </row>
    <row r="96" spans="2:12" x14ac:dyDescent="0.35">
      <c r="B96" s="6" t="s">
        <v>108</v>
      </c>
      <c r="C96" s="6" t="s">
        <v>108</v>
      </c>
      <c r="D96" s="7">
        <v>44939.729166666664</v>
      </c>
      <c r="E96" s="7">
        <v>44939.791666666664</v>
      </c>
      <c r="F96" s="6">
        <v>15</v>
      </c>
      <c r="G96" s="8" t="s">
        <v>135</v>
      </c>
      <c r="H96" s="8" t="s">
        <v>10</v>
      </c>
      <c r="I96" s="8" t="s">
        <v>10</v>
      </c>
      <c r="J96" s="8" t="s">
        <v>10</v>
      </c>
      <c r="K96" s="8" t="s">
        <v>10</v>
      </c>
      <c r="L96" s="8" t="s">
        <v>10</v>
      </c>
    </row>
    <row r="97" spans="2:12" x14ac:dyDescent="0.35">
      <c r="B97" s="6" t="s">
        <v>108</v>
      </c>
      <c r="C97" s="6" t="s">
        <v>108</v>
      </c>
      <c r="D97" s="7">
        <v>44940.479166666664</v>
      </c>
      <c r="E97" s="7">
        <v>44940.5</v>
      </c>
      <c r="F97" s="6">
        <v>5</v>
      </c>
      <c r="G97" s="8" t="s">
        <v>115</v>
      </c>
      <c r="H97" s="8" t="s">
        <v>10</v>
      </c>
      <c r="I97" s="8" t="s">
        <v>10</v>
      </c>
      <c r="J97" s="8" t="s">
        <v>10</v>
      </c>
      <c r="K97" s="8" t="s">
        <v>10</v>
      </c>
      <c r="L97" s="8" t="s">
        <v>10</v>
      </c>
    </row>
    <row r="98" spans="2:12" x14ac:dyDescent="0.35">
      <c r="B98" s="6" t="s">
        <v>108</v>
      </c>
      <c r="C98" s="6" t="s">
        <v>108</v>
      </c>
      <c r="D98" s="7">
        <v>44941.479166666664</v>
      </c>
      <c r="E98" s="7">
        <v>44941.5</v>
      </c>
      <c r="F98" s="6">
        <v>5</v>
      </c>
      <c r="G98" s="8" t="s">
        <v>115</v>
      </c>
      <c r="H98" s="8" t="s">
        <v>10</v>
      </c>
      <c r="I98" s="8" t="s">
        <v>10</v>
      </c>
      <c r="J98" s="8" t="s">
        <v>10</v>
      </c>
      <c r="K98" s="8" t="s">
        <v>10</v>
      </c>
      <c r="L98" s="8" t="s">
        <v>10</v>
      </c>
    </row>
    <row r="99" spans="2:12" x14ac:dyDescent="0.35">
      <c r="B99" s="6" t="s">
        <v>108</v>
      </c>
      <c r="C99" s="6" t="s">
        <v>108</v>
      </c>
      <c r="D99" s="7">
        <v>44942.364583333336</v>
      </c>
      <c r="E99" s="7">
        <v>44942.385416666664</v>
      </c>
      <c r="F99" s="6">
        <v>5</v>
      </c>
      <c r="G99" s="8" t="s">
        <v>9</v>
      </c>
      <c r="H99" s="8" t="s">
        <v>10</v>
      </c>
      <c r="I99" s="8" t="s">
        <v>10</v>
      </c>
      <c r="J99" s="8" t="s">
        <v>10</v>
      </c>
      <c r="K99" s="8" t="s">
        <v>10</v>
      </c>
      <c r="L99" s="8" t="s">
        <v>10</v>
      </c>
    </row>
    <row r="100" spans="2:12" x14ac:dyDescent="0.35">
      <c r="B100" s="6" t="s">
        <v>108</v>
      </c>
      <c r="C100" s="6" t="s">
        <v>108</v>
      </c>
      <c r="D100" s="7">
        <v>44942.385416666664</v>
      </c>
      <c r="E100" s="7">
        <v>44942.427083333336</v>
      </c>
      <c r="F100" s="6">
        <v>10</v>
      </c>
      <c r="G100" s="8" t="s">
        <v>109</v>
      </c>
      <c r="H100" s="8" t="s">
        <v>10</v>
      </c>
      <c r="I100" s="8" t="s">
        <v>10</v>
      </c>
      <c r="J100" s="8" t="s">
        <v>10</v>
      </c>
      <c r="K100" s="8" t="s">
        <v>10</v>
      </c>
      <c r="L100" s="8" t="s">
        <v>10</v>
      </c>
    </row>
    <row r="101" spans="2:12" x14ac:dyDescent="0.35">
      <c r="B101" s="6" t="s">
        <v>108</v>
      </c>
      <c r="C101" s="6" t="s">
        <v>108</v>
      </c>
      <c r="D101" s="7">
        <v>44942.4375</v>
      </c>
      <c r="E101" s="7">
        <v>44942.479166666664</v>
      </c>
      <c r="F101" s="6">
        <v>10</v>
      </c>
      <c r="G101" s="8" t="s">
        <v>40</v>
      </c>
      <c r="H101" s="8" t="s">
        <v>10</v>
      </c>
      <c r="I101" s="8" t="s">
        <v>10</v>
      </c>
      <c r="J101" s="8" t="s">
        <v>10</v>
      </c>
      <c r="K101" s="8" t="s">
        <v>10</v>
      </c>
      <c r="L101" s="8" t="s">
        <v>10</v>
      </c>
    </row>
    <row r="102" spans="2:12" x14ac:dyDescent="0.35">
      <c r="B102" s="6" t="s">
        <v>108</v>
      </c>
      <c r="C102" s="6" t="s">
        <v>108</v>
      </c>
      <c r="D102" s="7">
        <v>44942.458333333336</v>
      </c>
      <c r="E102" s="7">
        <v>44942.5</v>
      </c>
      <c r="F102" s="6">
        <v>10</v>
      </c>
      <c r="G102" s="8" t="s">
        <v>41</v>
      </c>
      <c r="H102" s="8" t="s">
        <v>10</v>
      </c>
      <c r="I102" s="8" t="s">
        <v>10</v>
      </c>
      <c r="J102" s="8" t="s">
        <v>10</v>
      </c>
      <c r="K102" s="8" t="s">
        <v>10</v>
      </c>
      <c r="L102" s="8" t="s">
        <v>10</v>
      </c>
    </row>
    <row r="103" spans="2:12" x14ac:dyDescent="0.35">
      <c r="B103" s="6" t="s">
        <v>108</v>
      </c>
      <c r="C103" s="6" t="s">
        <v>108</v>
      </c>
      <c r="D103" s="7">
        <v>44942.479166666664</v>
      </c>
      <c r="E103" s="7">
        <v>44942.5</v>
      </c>
      <c r="F103" s="6">
        <v>5</v>
      </c>
      <c r="G103" s="8" t="s">
        <v>115</v>
      </c>
      <c r="H103" s="8" t="s">
        <v>10</v>
      </c>
      <c r="I103" s="8" t="s">
        <v>10</v>
      </c>
      <c r="J103" s="8" t="s">
        <v>10</v>
      </c>
      <c r="K103" s="8" t="s">
        <v>10</v>
      </c>
      <c r="L103" s="8" t="s">
        <v>10</v>
      </c>
    </row>
    <row r="104" spans="2:12" x14ac:dyDescent="0.35">
      <c r="B104" s="6" t="s">
        <v>108</v>
      </c>
      <c r="C104" s="6" t="s">
        <v>108</v>
      </c>
      <c r="D104" s="7">
        <v>44942.489583333336</v>
      </c>
      <c r="E104" s="7">
        <v>44942.5</v>
      </c>
      <c r="F104" s="6">
        <v>25</v>
      </c>
      <c r="G104" s="8" t="s">
        <v>110</v>
      </c>
      <c r="H104" s="8" t="s">
        <v>10</v>
      </c>
      <c r="I104" s="8" t="s">
        <v>10</v>
      </c>
      <c r="J104" s="8" t="s">
        <v>10</v>
      </c>
      <c r="K104" s="8" t="s">
        <v>10</v>
      </c>
      <c r="L104" s="8" t="s">
        <v>10</v>
      </c>
    </row>
    <row r="105" spans="2:12" x14ac:dyDescent="0.35">
      <c r="B105" s="6" t="s">
        <v>108</v>
      </c>
      <c r="C105" s="6" t="s">
        <v>108</v>
      </c>
      <c r="D105" s="7">
        <v>44942.5</v>
      </c>
      <c r="E105" s="7">
        <v>44942.541666666664</v>
      </c>
      <c r="F105" s="6">
        <v>10</v>
      </c>
      <c r="G105" s="8" t="s">
        <v>111</v>
      </c>
      <c r="H105" s="8" t="s">
        <v>10</v>
      </c>
      <c r="I105" s="8" t="s">
        <v>10</v>
      </c>
      <c r="J105" s="8" t="s">
        <v>10</v>
      </c>
      <c r="K105" s="8" t="s">
        <v>10</v>
      </c>
      <c r="L105" s="8" t="s">
        <v>10</v>
      </c>
    </row>
    <row r="106" spans="2:12" x14ac:dyDescent="0.35">
      <c r="B106" s="6" t="s">
        <v>108</v>
      </c>
      <c r="C106" s="6" t="s">
        <v>108</v>
      </c>
      <c r="D106" s="7">
        <v>44942.5625</v>
      </c>
      <c r="E106" s="7">
        <v>44942.604166666664</v>
      </c>
      <c r="F106" s="6">
        <v>10</v>
      </c>
      <c r="G106" s="8" t="s">
        <v>136</v>
      </c>
      <c r="H106" s="8" t="s">
        <v>10</v>
      </c>
      <c r="I106" s="8" t="s">
        <v>10</v>
      </c>
      <c r="J106" s="8" t="s">
        <v>10</v>
      </c>
      <c r="K106" s="8" t="s">
        <v>10</v>
      </c>
      <c r="L106" s="8" t="s">
        <v>10</v>
      </c>
    </row>
    <row r="107" spans="2:12" x14ac:dyDescent="0.35">
      <c r="B107" s="6" t="s">
        <v>108</v>
      </c>
      <c r="C107" s="6" t="s">
        <v>108</v>
      </c>
      <c r="D107" s="7">
        <v>44942.625</v>
      </c>
      <c r="E107" s="7">
        <v>44942.645833333336</v>
      </c>
      <c r="F107" s="6">
        <v>5</v>
      </c>
      <c r="G107" s="8" t="s">
        <v>42</v>
      </c>
      <c r="H107" s="8" t="s">
        <v>10</v>
      </c>
      <c r="I107" s="8" t="s">
        <v>10</v>
      </c>
      <c r="J107" s="8" t="s">
        <v>10</v>
      </c>
      <c r="K107" s="8" t="s">
        <v>10</v>
      </c>
      <c r="L107" s="8" t="s">
        <v>10</v>
      </c>
    </row>
    <row r="108" spans="2:12" x14ac:dyDescent="0.35">
      <c r="B108" s="6" t="s">
        <v>108</v>
      </c>
      <c r="C108" s="6" t="s">
        <v>108</v>
      </c>
      <c r="D108" s="7">
        <v>44942.708333333336</v>
      </c>
      <c r="E108" s="7">
        <v>44942.75</v>
      </c>
      <c r="F108" s="6">
        <v>10</v>
      </c>
      <c r="G108" s="8" t="s">
        <v>43</v>
      </c>
      <c r="H108" s="8" t="s">
        <v>10</v>
      </c>
      <c r="I108" s="8" t="s">
        <v>10</v>
      </c>
      <c r="J108" s="8" t="s">
        <v>10</v>
      </c>
      <c r="K108" s="8" t="s">
        <v>10</v>
      </c>
      <c r="L108" s="8" t="s">
        <v>10</v>
      </c>
    </row>
    <row r="109" spans="2:12" x14ac:dyDescent="0.35">
      <c r="B109" s="6" t="s">
        <v>108</v>
      </c>
      <c r="C109" s="6" t="s">
        <v>108</v>
      </c>
      <c r="D109" s="7">
        <v>44942.75</v>
      </c>
      <c r="E109" s="7">
        <v>44942.791666666664</v>
      </c>
      <c r="F109" s="6">
        <v>10</v>
      </c>
      <c r="G109" s="8" t="s">
        <v>44</v>
      </c>
      <c r="H109" s="8" t="s">
        <v>10</v>
      </c>
      <c r="I109" s="8" t="s">
        <v>10</v>
      </c>
      <c r="J109" s="8" t="s">
        <v>10</v>
      </c>
      <c r="K109" s="8" t="s">
        <v>10</v>
      </c>
      <c r="L109" s="8" t="s">
        <v>10</v>
      </c>
    </row>
    <row r="110" spans="2:12" x14ac:dyDescent="0.35">
      <c r="B110" s="6" t="s">
        <v>108</v>
      </c>
      <c r="C110" s="6" t="s">
        <v>108</v>
      </c>
      <c r="D110" s="7">
        <v>44943.364583333336</v>
      </c>
      <c r="E110" s="7">
        <v>44943.385416666664</v>
      </c>
      <c r="F110" s="6">
        <v>5</v>
      </c>
      <c r="G110" s="8" t="s">
        <v>9</v>
      </c>
      <c r="H110" s="8" t="s">
        <v>10</v>
      </c>
      <c r="I110" s="8" t="s">
        <v>10</v>
      </c>
      <c r="J110" s="8" t="s">
        <v>10</v>
      </c>
      <c r="K110" s="8" t="s">
        <v>10</v>
      </c>
      <c r="L110" s="8" t="s">
        <v>10</v>
      </c>
    </row>
    <row r="111" spans="2:12" x14ac:dyDescent="0.35">
      <c r="B111" s="6" t="s">
        <v>108</v>
      </c>
      <c r="C111" s="6" t="s">
        <v>108</v>
      </c>
      <c r="D111" s="7">
        <v>44943.375</v>
      </c>
      <c r="E111" s="7">
        <v>44943.416666666664</v>
      </c>
      <c r="F111" s="6">
        <v>10</v>
      </c>
      <c r="G111" s="8" t="s">
        <v>137</v>
      </c>
      <c r="H111" s="8" t="s">
        <v>10</v>
      </c>
      <c r="I111" s="8" t="s">
        <v>10</v>
      </c>
      <c r="J111" s="8" t="s">
        <v>10</v>
      </c>
      <c r="K111" s="8" t="s">
        <v>10</v>
      </c>
      <c r="L111" s="8" t="s">
        <v>10</v>
      </c>
    </row>
    <row r="112" spans="2:12" x14ac:dyDescent="0.35">
      <c r="B112" s="6" t="s">
        <v>108</v>
      </c>
      <c r="C112" s="6" t="s">
        <v>108</v>
      </c>
      <c r="D112" s="7">
        <v>44943.416666666664</v>
      </c>
      <c r="E112" s="7">
        <v>44943.4375</v>
      </c>
      <c r="F112" s="6">
        <v>5</v>
      </c>
      <c r="G112" s="8" t="s">
        <v>138</v>
      </c>
      <c r="H112" s="8" t="s">
        <v>10</v>
      </c>
      <c r="I112" s="8" t="s">
        <v>10</v>
      </c>
      <c r="J112" s="8" t="s">
        <v>10</v>
      </c>
      <c r="K112" s="8" t="s">
        <v>10</v>
      </c>
      <c r="L112" s="8" t="s">
        <v>10</v>
      </c>
    </row>
    <row r="113" spans="2:12" x14ac:dyDescent="0.35">
      <c r="B113" s="6" t="s">
        <v>108</v>
      </c>
      <c r="C113" s="6" t="s">
        <v>108</v>
      </c>
      <c r="D113" s="7">
        <v>44943.416666666664</v>
      </c>
      <c r="E113" s="7">
        <v>44943.479166666664</v>
      </c>
      <c r="F113" s="6">
        <v>15</v>
      </c>
      <c r="G113" s="8" t="s">
        <v>139</v>
      </c>
      <c r="H113" s="8" t="s">
        <v>10</v>
      </c>
      <c r="I113" s="8" t="s">
        <v>10</v>
      </c>
      <c r="J113" s="8" t="s">
        <v>10</v>
      </c>
      <c r="K113" s="8" t="s">
        <v>10</v>
      </c>
      <c r="L113" s="8" t="s">
        <v>10</v>
      </c>
    </row>
    <row r="114" spans="2:12" x14ac:dyDescent="0.35">
      <c r="B114" s="6" t="s">
        <v>108</v>
      </c>
      <c r="C114" s="6" t="s">
        <v>108</v>
      </c>
      <c r="D114" s="7">
        <v>44943.416666666664</v>
      </c>
      <c r="E114" s="7">
        <v>44943.4375</v>
      </c>
      <c r="F114" s="6">
        <v>5</v>
      </c>
      <c r="G114" s="8" t="s">
        <v>45</v>
      </c>
      <c r="H114" s="8" t="s">
        <v>10</v>
      </c>
      <c r="I114" s="8" t="s">
        <v>10</v>
      </c>
      <c r="J114" s="8" t="s">
        <v>10</v>
      </c>
      <c r="K114" s="8" t="s">
        <v>10</v>
      </c>
      <c r="L114" s="8" t="s">
        <v>10</v>
      </c>
    </row>
    <row r="115" spans="2:12" x14ac:dyDescent="0.35">
      <c r="B115" s="6" t="s">
        <v>108</v>
      </c>
      <c r="C115" s="6" t="s">
        <v>108</v>
      </c>
      <c r="D115" s="7">
        <v>44943.479166666664</v>
      </c>
      <c r="E115" s="7">
        <v>44943.5</v>
      </c>
      <c r="F115" s="6">
        <v>5</v>
      </c>
      <c r="G115" s="8" t="s">
        <v>12</v>
      </c>
      <c r="H115" s="8" t="s">
        <v>10</v>
      </c>
      <c r="I115" s="8" t="s">
        <v>10</v>
      </c>
      <c r="J115" s="8" t="s">
        <v>10</v>
      </c>
      <c r="K115" s="8" t="s">
        <v>10</v>
      </c>
      <c r="L115" s="8" t="s">
        <v>10</v>
      </c>
    </row>
    <row r="116" spans="2:12" x14ac:dyDescent="0.35">
      <c r="B116" s="6" t="s">
        <v>108</v>
      </c>
      <c r="C116" s="6" t="s">
        <v>108</v>
      </c>
      <c r="D116" s="7">
        <v>44943.479166666664</v>
      </c>
      <c r="E116" s="7">
        <v>44943.5</v>
      </c>
      <c r="F116" s="6">
        <v>5</v>
      </c>
      <c r="G116" s="8" t="s">
        <v>115</v>
      </c>
      <c r="H116" s="8" t="s">
        <v>10</v>
      </c>
      <c r="I116" s="8" t="s">
        <v>10</v>
      </c>
      <c r="J116" s="8" t="s">
        <v>10</v>
      </c>
      <c r="K116" s="8" t="s">
        <v>10</v>
      </c>
      <c r="L116" s="8" t="s">
        <v>10</v>
      </c>
    </row>
    <row r="117" spans="2:12" x14ac:dyDescent="0.35">
      <c r="B117" s="6" t="s">
        <v>108</v>
      </c>
      <c r="C117" s="6" t="s">
        <v>108</v>
      </c>
      <c r="D117" s="7">
        <v>44943.5</v>
      </c>
      <c r="E117" s="7">
        <v>44943.541666666664</v>
      </c>
      <c r="F117" s="6">
        <v>10</v>
      </c>
      <c r="G117" s="8" t="s">
        <v>111</v>
      </c>
      <c r="H117" s="8" t="s">
        <v>10</v>
      </c>
      <c r="I117" s="8" t="s">
        <v>10</v>
      </c>
      <c r="J117" s="8" t="s">
        <v>10</v>
      </c>
      <c r="K117" s="8" t="s">
        <v>10</v>
      </c>
      <c r="L117" s="8" t="s">
        <v>10</v>
      </c>
    </row>
    <row r="118" spans="2:12" x14ac:dyDescent="0.35">
      <c r="B118" s="6" t="s">
        <v>108</v>
      </c>
      <c r="C118" s="6" t="s">
        <v>108</v>
      </c>
      <c r="D118" s="7">
        <v>44943.510416666664</v>
      </c>
      <c r="E118" s="7">
        <v>44943.552083333336</v>
      </c>
      <c r="F118" s="6">
        <v>10</v>
      </c>
      <c r="G118" s="8" t="s">
        <v>116</v>
      </c>
      <c r="H118" s="8" t="s">
        <v>10</v>
      </c>
      <c r="I118" s="8" t="s">
        <v>10</v>
      </c>
      <c r="J118" s="8" t="s">
        <v>10</v>
      </c>
      <c r="K118" s="8" t="s">
        <v>10</v>
      </c>
      <c r="L118" s="8" t="s">
        <v>10</v>
      </c>
    </row>
    <row r="119" spans="2:12" x14ac:dyDescent="0.35">
      <c r="B119" s="6" t="s">
        <v>108</v>
      </c>
      <c r="C119" s="6" t="s">
        <v>108</v>
      </c>
      <c r="D119" s="7">
        <v>44943.541666666664</v>
      </c>
      <c r="E119" s="7">
        <v>44943.583333333336</v>
      </c>
      <c r="F119" s="6">
        <v>10</v>
      </c>
      <c r="G119" s="8" t="s">
        <v>25</v>
      </c>
      <c r="H119" s="8" t="s">
        <v>10</v>
      </c>
      <c r="I119" s="8" t="s">
        <v>10</v>
      </c>
      <c r="J119" s="8" t="s">
        <v>10</v>
      </c>
      <c r="K119" s="8" t="s">
        <v>10</v>
      </c>
      <c r="L119" s="8" t="s">
        <v>10</v>
      </c>
    </row>
    <row r="120" spans="2:12" x14ac:dyDescent="0.35">
      <c r="B120" s="6" t="s">
        <v>108</v>
      </c>
      <c r="C120" s="6" t="s">
        <v>108</v>
      </c>
      <c r="D120" s="7">
        <v>44943.5625</v>
      </c>
      <c r="E120" s="7">
        <v>44943.583333333336</v>
      </c>
      <c r="F120" s="6">
        <v>5</v>
      </c>
      <c r="G120" s="8" t="s">
        <v>33</v>
      </c>
      <c r="H120" s="8" t="s">
        <v>10</v>
      </c>
      <c r="I120" s="8" t="s">
        <v>10</v>
      </c>
      <c r="J120" s="8" t="s">
        <v>10</v>
      </c>
      <c r="K120" s="8" t="s">
        <v>10</v>
      </c>
      <c r="L120" s="8" t="s">
        <v>10</v>
      </c>
    </row>
    <row r="121" spans="2:12" x14ac:dyDescent="0.35">
      <c r="B121" s="6" t="s">
        <v>108</v>
      </c>
      <c r="C121" s="6" t="s">
        <v>108</v>
      </c>
      <c r="D121" s="7">
        <v>44943.583333333336</v>
      </c>
      <c r="E121" s="7">
        <v>44943.645833333336</v>
      </c>
      <c r="F121" s="6">
        <v>15</v>
      </c>
      <c r="G121" s="8" t="s">
        <v>140</v>
      </c>
      <c r="H121" s="8" t="s">
        <v>10</v>
      </c>
      <c r="I121" s="8" t="s">
        <v>10</v>
      </c>
      <c r="J121" s="8" t="s">
        <v>10</v>
      </c>
      <c r="K121" s="8" t="s">
        <v>10</v>
      </c>
      <c r="L121" s="8" t="s">
        <v>10</v>
      </c>
    </row>
    <row r="122" spans="2:12" x14ac:dyDescent="0.35">
      <c r="B122" s="6" t="s">
        <v>108</v>
      </c>
      <c r="C122" s="6" t="s">
        <v>108</v>
      </c>
      <c r="D122" s="7">
        <v>44943.645833333336</v>
      </c>
      <c r="E122" s="7">
        <v>44943.666666666664</v>
      </c>
      <c r="F122" s="6">
        <v>5</v>
      </c>
      <c r="G122" s="8" t="s">
        <v>46</v>
      </c>
      <c r="H122" s="8" t="s">
        <v>10</v>
      </c>
      <c r="I122" s="8" t="s">
        <v>10</v>
      </c>
      <c r="J122" s="8" t="s">
        <v>10</v>
      </c>
      <c r="K122" s="8" t="s">
        <v>10</v>
      </c>
      <c r="L122" s="8" t="s">
        <v>10</v>
      </c>
    </row>
    <row r="123" spans="2:12" x14ac:dyDescent="0.35">
      <c r="B123" s="6" t="s">
        <v>108</v>
      </c>
      <c r="C123" s="6" t="s">
        <v>108</v>
      </c>
      <c r="D123" s="7">
        <v>44943.666666666664</v>
      </c>
      <c r="E123" s="7">
        <v>44943.697916666664</v>
      </c>
      <c r="F123" s="6">
        <v>75</v>
      </c>
      <c r="G123" s="8" t="s">
        <v>47</v>
      </c>
      <c r="H123" s="8" t="s">
        <v>10</v>
      </c>
      <c r="I123" s="8" t="s">
        <v>10</v>
      </c>
      <c r="J123" s="8" t="s">
        <v>10</v>
      </c>
      <c r="K123" s="8" t="s">
        <v>10</v>
      </c>
      <c r="L123" s="8" t="s">
        <v>10</v>
      </c>
    </row>
    <row r="124" spans="2:12" x14ac:dyDescent="0.35">
      <c r="B124" s="6" t="s">
        <v>108</v>
      </c>
      <c r="C124" s="6" t="s">
        <v>108</v>
      </c>
      <c r="D124" s="7">
        <v>44943.708333333336</v>
      </c>
      <c r="E124" s="7">
        <v>44943.75</v>
      </c>
      <c r="F124" s="6">
        <v>10</v>
      </c>
      <c r="G124" s="8" t="s">
        <v>48</v>
      </c>
      <c r="H124" s="8" t="s">
        <v>10</v>
      </c>
      <c r="I124" s="8" t="s">
        <v>10</v>
      </c>
      <c r="J124" s="8" t="s">
        <v>10</v>
      </c>
      <c r="K124" s="8" t="s">
        <v>10</v>
      </c>
      <c r="L124" s="8" t="s">
        <v>10</v>
      </c>
    </row>
    <row r="125" spans="2:12" x14ac:dyDescent="0.35">
      <c r="B125" s="6" t="s">
        <v>108</v>
      </c>
      <c r="C125" s="6" t="s">
        <v>108</v>
      </c>
      <c r="D125" s="7">
        <v>44944.364583333336</v>
      </c>
      <c r="E125" s="7">
        <v>44944.385416666664</v>
      </c>
      <c r="F125" s="6">
        <v>5</v>
      </c>
      <c r="G125" s="8" t="s">
        <v>9</v>
      </c>
      <c r="H125" s="8" t="s">
        <v>10</v>
      </c>
      <c r="I125" s="8" t="s">
        <v>10</v>
      </c>
      <c r="J125" s="8" t="s">
        <v>10</v>
      </c>
      <c r="K125" s="8" t="s">
        <v>10</v>
      </c>
      <c r="L125" s="8" t="s">
        <v>10</v>
      </c>
    </row>
    <row r="126" spans="2:12" x14ac:dyDescent="0.35">
      <c r="B126" s="6" t="s">
        <v>108</v>
      </c>
      <c r="C126" s="6" t="s">
        <v>108</v>
      </c>
      <c r="D126" s="7">
        <v>44944.395833333336</v>
      </c>
      <c r="E126" s="7">
        <v>44944.416666666664</v>
      </c>
      <c r="F126" s="6">
        <v>5</v>
      </c>
      <c r="G126" s="8" t="s">
        <v>49</v>
      </c>
      <c r="H126" s="8" t="s">
        <v>10</v>
      </c>
      <c r="I126" s="8" t="s">
        <v>10</v>
      </c>
      <c r="J126" s="8" t="s">
        <v>10</v>
      </c>
      <c r="K126" s="8" t="s">
        <v>10</v>
      </c>
      <c r="L126" s="8" t="s">
        <v>10</v>
      </c>
    </row>
    <row r="127" spans="2:12" x14ac:dyDescent="0.35">
      <c r="B127" s="6" t="s">
        <v>108</v>
      </c>
      <c r="C127" s="6" t="s">
        <v>108</v>
      </c>
      <c r="D127" s="7">
        <v>44944.416666666664</v>
      </c>
      <c r="E127" s="7">
        <v>44944.458333333336</v>
      </c>
      <c r="F127" s="6">
        <v>10</v>
      </c>
      <c r="G127" s="8" t="s">
        <v>141</v>
      </c>
      <c r="H127" s="8" t="s">
        <v>10</v>
      </c>
      <c r="I127" s="8" t="s">
        <v>10</v>
      </c>
      <c r="J127" s="8" t="s">
        <v>10</v>
      </c>
      <c r="K127" s="8" t="s">
        <v>10</v>
      </c>
      <c r="L127" s="8" t="s">
        <v>10</v>
      </c>
    </row>
    <row r="128" spans="2:12" x14ac:dyDescent="0.35">
      <c r="B128" s="6" t="s">
        <v>108</v>
      </c>
      <c r="C128" s="6" t="s">
        <v>108</v>
      </c>
      <c r="D128" s="7">
        <v>44944.458333333336</v>
      </c>
      <c r="E128" s="7">
        <v>44944.479166666664</v>
      </c>
      <c r="F128" s="6">
        <v>5</v>
      </c>
      <c r="G128" s="8" t="s">
        <v>14</v>
      </c>
      <c r="H128" s="8" t="s">
        <v>10</v>
      </c>
      <c r="I128" s="8" t="s">
        <v>10</v>
      </c>
      <c r="J128" s="8" t="s">
        <v>10</v>
      </c>
      <c r="K128" s="8" t="s">
        <v>10</v>
      </c>
      <c r="L128" s="8" t="s">
        <v>10</v>
      </c>
    </row>
    <row r="129" spans="2:12" x14ac:dyDescent="0.35">
      <c r="B129" s="6" t="s">
        <v>108</v>
      </c>
      <c r="C129" s="6" t="s">
        <v>108</v>
      </c>
      <c r="D129" s="7">
        <v>44944.479166666664</v>
      </c>
      <c r="E129" s="7">
        <v>44944.5</v>
      </c>
      <c r="F129" s="6">
        <v>5</v>
      </c>
      <c r="G129" s="8" t="s">
        <v>113</v>
      </c>
      <c r="H129" s="8" t="s">
        <v>10</v>
      </c>
      <c r="I129" s="8" t="s">
        <v>10</v>
      </c>
      <c r="J129" s="8" t="s">
        <v>10</v>
      </c>
      <c r="K129" s="8" t="s">
        <v>10</v>
      </c>
      <c r="L129" s="8" t="s">
        <v>10</v>
      </c>
    </row>
    <row r="130" spans="2:12" x14ac:dyDescent="0.35">
      <c r="B130" s="6" t="s">
        <v>108</v>
      </c>
      <c r="C130" s="6" t="s">
        <v>108</v>
      </c>
      <c r="D130" s="7">
        <v>44944.479166666664</v>
      </c>
      <c r="E130" s="7">
        <v>44944.5</v>
      </c>
      <c r="F130" s="6">
        <v>5</v>
      </c>
      <c r="G130" s="8" t="s">
        <v>115</v>
      </c>
      <c r="H130" s="8" t="s">
        <v>10</v>
      </c>
      <c r="I130" s="8" t="s">
        <v>10</v>
      </c>
      <c r="J130" s="8" t="s">
        <v>10</v>
      </c>
      <c r="K130" s="8" t="s">
        <v>10</v>
      </c>
      <c r="L130" s="8" t="s">
        <v>10</v>
      </c>
    </row>
    <row r="131" spans="2:12" x14ac:dyDescent="0.35">
      <c r="B131" s="6" t="s">
        <v>108</v>
      </c>
      <c r="C131" s="6" t="s">
        <v>108</v>
      </c>
      <c r="D131" s="7">
        <v>44944.479166666664</v>
      </c>
      <c r="E131" s="7">
        <v>44944.5</v>
      </c>
      <c r="F131" s="6">
        <v>5</v>
      </c>
      <c r="G131" s="8" t="s">
        <v>15</v>
      </c>
      <c r="H131" s="8" t="s">
        <v>10</v>
      </c>
      <c r="I131" s="8" t="s">
        <v>10</v>
      </c>
      <c r="J131" s="8" t="s">
        <v>10</v>
      </c>
      <c r="K131" s="8" t="s">
        <v>10</v>
      </c>
      <c r="L131" s="8" t="s">
        <v>10</v>
      </c>
    </row>
    <row r="132" spans="2:12" x14ac:dyDescent="0.35">
      <c r="B132" s="6" t="s">
        <v>108</v>
      </c>
      <c r="C132" s="6" t="s">
        <v>108</v>
      </c>
      <c r="D132" s="7">
        <v>44944.5</v>
      </c>
      <c r="E132" s="7">
        <v>44944.541666666664</v>
      </c>
      <c r="F132" s="6">
        <v>10</v>
      </c>
      <c r="G132" s="8" t="s">
        <v>111</v>
      </c>
      <c r="H132" s="8" t="s">
        <v>10</v>
      </c>
      <c r="I132" s="8" t="s">
        <v>10</v>
      </c>
      <c r="J132" s="8" t="s">
        <v>10</v>
      </c>
      <c r="K132" s="8" t="s">
        <v>10</v>
      </c>
      <c r="L132" s="8" t="s">
        <v>10</v>
      </c>
    </row>
    <row r="133" spans="2:12" x14ac:dyDescent="0.35">
      <c r="B133" s="6" t="s">
        <v>108</v>
      </c>
      <c r="C133" s="6" t="s">
        <v>108</v>
      </c>
      <c r="D133" s="7">
        <v>44944.541666666664</v>
      </c>
      <c r="E133" s="7">
        <v>44944.583333333336</v>
      </c>
      <c r="F133" s="6">
        <v>10</v>
      </c>
      <c r="G133" s="8" t="s">
        <v>50</v>
      </c>
      <c r="H133" s="8" t="s">
        <v>10</v>
      </c>
      <c r="I133" s="8" t="s">
        <v>10</v>
      </c>
      <c r="J133" s="8" t="s">
        <v>10</v>
      </c>
      <c r="K133" s="8" t="s">
        <v>10</v>
      </c>
      <c r="L133" s="8" t="s">
        <v>10</v>
      </c>
    </row>
    <row r="134" spans="2:12" x14ac:dyDescent="0.35">
      <c r="B134" s="6" t="s">
        <v>108</v>
      </c>
      <c r="C134" s="6" t="s">
        <v>108</v>
      </c>
      <c r="D134" s="7">
        <v>44944.583333333336</v>
      </c>
      <c r="E134" s="7">
        <v>44944.59375</v>
      </c>
      <c r="F134" s="6">
        <v>25</v>
      </c>
      <c r="G134" s="8" t="s">
        <v>142</v>
      </c>
      <c r="H134" s="8" t="s">
        <v>10</v>
      </c>
      <c r="I134" s="8" t="s">
        <v>10</v>
      </c>
      <c r="J134" s="8" t="s">
        <v>10</v>
      </c>
      <c r="K134" s="8" t="s">
        <v>10</v>
      </c>
      <c r="L134" s="8" t="s">
        <v>10</v>
      </c>
    </row>
    <row r="135" spans="2:12" x14ac:dyDescent="0.35">
      <c r="B135" s="6" t="s">
        <v>108</v>
      </c>
      <c r="C135" s="6" t="s">
        <v>108</v>
      </c>
      <c r="D135" s="7">
        <v>44944.625</v>
      </c>
      <c r="E135" s="7">
        <v>44944.6875</v>
      </c>
      <c r="F135" s="6">
        <v>15</v>
      </c>
      <c r="G135" s="8" t="s">
        <v>143</v>
      </c>
      <c r="H135" s="8" t="s">
        <v>10</v>
      </c>
      <c r="I135" s="8" t="s">
        <v>10</v>
      </c>
      <c r="J135" s="8" t="s">
        <v>10</v>
      </c>
      <c r="K135" s="8" t="s">
        <v>10</v>
      </c>
      <c r="L135" s="8" t="s">
        <v>10</v>
      </c>
    </row>
    <row r="136" spans="2:12" x14ac:dyDescent="0.35">
      <c r="B136" s="6" t="s">
        <v>108</v>
      </c>
      <c r="C136" s="6" t="s">
        <v>108</v>
      </c>
      <c r="D136" s="7">
        <v>44944.666666666664</v>
      </c>
      <c r="E136" s="7">
        <v>44944.6875</v>
      </c>
      <c r="F136" s="6">
        <v>5</v>
      </c>
      <c r="G136" s="8" t="s">
        <v>50</v>
      </c>
      <c r="H136" s="8" t="s">
        <v>10</v>
      </c>
      <c r="I136" s="8" t="s">
        <v>10</v>
      </c>
      <c r="J136" s="8" t="s">
        <v>10</v>
      </c>
      <c r="K136" s="8" t="s">
        <v>10</v>
      </c>
      <c r="L136" s="8" t="s">
        <v>10</v>
      </c>
    </row>
    <row r="137" spans="2:12" x14ac:dyDescent="0.35">
      <c r="B137" s="6" t="s">
        <v>108</v>
      </c>
      <c r="C137" s="6" t="s">
        <v>108</v>
      </c>
      <c r="D137" s="7">
        <v>44944.6875</v>
      </c>
      <c r="E137" s="7">
        <v>44944.708333333336</v>
      </c>
      <c r="F137" s="6">
        <v>5</v>
      </c>
      <c r="G137" s="8" t="s">
        <v>16</v>
      </c>
      <c r="H137" s="8" t="s">
        <v>10</v>
      </c>
      <c r="I137" s="8" t="s">
        <v>10</v>
      </c>
      <c r="J137" s="8" t="s">
        <v>10</v>
      </c>
      <c r="K137" s="8" t="s">
        <v>10</v>
      </c>
      <c r="L137" s="8" t="s">
        <v>10</v>
      </c>
    </row>
    <row r="138" spans="2:12" x14ac:dyDescent="0.35">
      <c r="B138" s="6" t="s">
        <v>108</v>
      </c>
      <c r="C138" s="6" t="s">
        <v>108</v>
      </c>
      <c r="D138" s="7">
        <v>44944.6875</v>
      </c>
      <c r="E138" s="7">
        <v>44944.708333333336</v>
      </c>
      <c r="F138" s="6">
        <v>5</v>
      </c>
      <c r="G138" s="8" t="s">
        <v>144</v>
      </c>
      <c r="H138" s="8" t="s">
        <v>10</v>
      </c>
      <c r="I138" s="8" t="s">
        <v>10</v>
      </c>
      <c r="J138" s="8" t="s">
        <v>10</v>
      </c>
      <c r="K138" s="8" t="s">
        <v>10</v>
      </c>
      <c r="L138" s="8" t="s">
        <v>10</v>
      </c>
    </row>
    <row r="139" spans="2:12" x14ac:dyDescent="0.35">
      <c r="B139" s="6" t="s">
        <v>108</v>
      </c>
      <c r="C139" s="6" t="s">
        <v>108</v>
      </c>
      <c r="D139" s="7">
        <v>44945.364583333336</v>
      </c>
      <c r="E139" s="7">
        <v>44945.385416666664</v>
      </c>
      <c r="F139" s="6">
        <v>5</v>
      </c>
      <c r="G139" s="8" t="s">
        <v>9</v>
      </c>
      <c r="H139" s="8" t="s">
        <v>10</v>
      </c>
      <c r="I139" s="8" t="s">
        <v>10</v>
      </c>
      <c r="J139" s="8" t="s">
        <v>10</v>
      </c>
      <c r="K139" s="8" t="s">
        <v>10</v>
      </c>
      <c r="L139" s="8" t="s">
        <v>10</v>
      </c>
    </row>
    <row r="140" spans="2:12" x14ac:dyDescent="0.35">
      <c r="B140" s="6" t="s">
        <v>108</v>
      </c>
      <c r="C140" s="6" t="s">
        <v>108</v>
      </c>
      <c r="D140" s="7">
        <v>44945.395833333336</v>
      </c>
      <c r="E140" s="7">
        <v>44945.416666666664</v>
      </c>
      <c r="F140" s="6">
        <v>5</v>
      </c>
      <c r="G140" s="8" t="s">
        <v>51</v>
      </c>
      <c r="H140" s="8" t="s">
        <v>10</v>
      </c>
      <c r="I140" s="8" t="s">
        <v>10</v>
      </c>
      <c r="J140" s="8" t="s">
        <v>10</v>
      </c>
      <c r="K140" s="8" t="s">
        <v>10</v>
      </c>
      <c r="L140" s="8" t="s">
        <v>10</v>
      </c>
    </row>
    <row r="141" spans="2:12" x14ac:dyDescent="0.35">
      <c r="B141" s="6" t="s">
        <v>108</v>
      </c>
      <c r="C141" s="6" t="s">
        <v>108</v>
      </c>
      <c r="D141" s="7">
        <v>44945.416666666664</v>
      </c>
      <c r="E141" s="7">
        <v>44945.5</v>
      </c>
      <c r="F141" s="6">
        <v>20</v>
      </c>
      <c r="G141" s="8" t="s">
        <v>145</v>
      </c>
      <c r="H141" s="8" t="s">
        <v>10</v>
      </c>
      <c r="I141" s="8" t="s">
        <v>10</v>
      </c>
      <c r="J141" s="8" t="s">
        <v>10</v>
      </c>
      <c r="K141" s="8" t="s">
        <v>10</v>
      </c>
      <c r="L141" s="8" t="s">
        <v>10</v>
      </c>
    </row>
    <row r="142" spans="2:12" x14ac:dyDescent="0.35">
      <c r="B142" s="6" t="s">
        <v>108</v>
      </c>
      <c r="C142" s="6" t="s">
        <v>108</v>
      </c>
      <c r="D142" s="7">
        <v>44945.458333333336</v>
      </c>
      <c r="E142" s="7">
        <v>44945.5</v>
      </c>
      <c r="F142" s="6">
        <v>10</v>
      </c>
      <c r="G142" s="8" t="s">
        <v>120</v>
      </c>
      <c r="H142" s="8" t="s">
        <v>10</v>
      </c>
      <c r="I142" s="8" t="s">
        <v>10</v>
      </c>
      <c r="J142" s="8" t="s">
        <v>10</v>
      </c>
      <c r="K142" s="8" t="s">
        <v>10</v>
      </c>
      <c r="L142" s="8" t="s">
        <v>10</v>
      </c>
    </row>
    <row r="143" spans="2:12" x14ac:dyDescent="0.35">
      <c r="B143" s="6" t="s">
        <v>108</v>
      </c>
      <c r="C143" s="6" t="s">
        <v>108</v>
      </c>
      <c r="D143" s="7">
        <v>44945.458333333336</v>
      </c>
      <c r="E143" s="7">
        <v>44945.5</v>
      </c>
      <c r="F143" s="6">
        <v>10</v>
      </c>
      <c r="G143" s="8" t="s">
        <v>146</v>
      </c>
      <c r="H143" s="8" t="s">
        <v>10</v>
      </c>
      <c r="I143" s="8" t="s">
        <v>10</v>
      </c>
      <c r="J143" s="8" t="s">
        <v>10</v>
      </c>
      <c r="K143" s="8" t="s">
        <v>10</v>
      </c>
      <c r="L143" s="8" t="s">
        <v>10</v>
      </c>
    </row>
    <row r="144" spans="2:12" x14ac:dyDescent="0.35">
      <c r="B144" s="6" t="s">
        <v>108</v>
      </c>
      <c r="C144" s="6" t="s">
        <v>108</v>
      </c>
      <c r="D144" s="7">
        <v>44945.479166666664</v>
      </c>
      <c r="E144" s="7">
        <v>44945.5</v>
      </c>
      <c r="F144" s="6">
        <v>5</v>
      </c>
      <c r="G144" s="8" t="s">
        <v>115</v>
      </c>
      <c r="H144" s="8" t="s">
        <v>10</v>
      </c>
      <c r="I144" s="8" t="s">
        <v>10</v>
      </c>
      <c r="J144" s="8" t="s">
        <v>10</v>
      </c>
      <c r="K144" s="8" t="s">
        <v>10</v>
      </c>
      <c r="L144" s="8" t="s">
        <v>10</v>
      </c>
    </row>
    <row r="145" spans="2:12" x14ac:dyDescent="0.35">
      <c r="B145" s="6" t="s">
        <v>108</v>
      </c>
      <c r="C145" s="6" t="s">
        <v>108</v>
      </c>
      <c r="D145" s="7">
        <v>44945.5</v>
      </c>
      <c r="E145" s="7">
        <v>44945.541666666664</v>
      </c>
      <c r="F145" s="6">
        <v>10</v>
      </c>
      <c r="G145" s="8" t="s">
        <v>111</v>
      </c>
      <c r="H145" s="8" t="s">
        <v>10</v>
      </c>
      <c r="I145" s="8" t="s">
        <v>10</v>
      </c>
      <c r="J145" s="8" t="s">
        <v>10</v>
      </c>
      <c r="K145" s="8" t="s">
        <v>10</v>
      </c>
      <c r="L145" s="8" t="s">
        <v>10</v>
      </c>
    </row>
    <row r="146" spans="2:12" x14ac:dyDescent="0.35">
      <c r="B146" s="6" t="s">
        <v>108</v>
      </c>
      <c r="C146" s="6" t="s">
        <v>108</v>
      </c>
      <c r="D146" s="7">
        <v>44945.510416666664</v>
      </c>
      <c r="E146" s="7">
        <v>44945.552083333336</v>
      </c>
      <c r="F146" s="6">
        <v>10</v>
      </c>
      <c r="G146" s="8" t="s">
        <v>116</v>
      </c>
      <c r="H146" s="8" t="s">
        <v>10</v>
      </c>
      <c r="I146" s="8" t="s">
        <v>10</v>
      </c>
      <c r="J146" s="8" t="s">
        <v>10</v>
      </c>
      <c r="K146" s="8" t="s">
        <v>10</v>
      </c>
      <c r="L146" s="8" t="s">
        <v>10</v>
      </c>
    </row>
    <row r="147" spans="2:12" x14ac:dyDescent="0.35">
      <c r="B147" s="6" t="s">
        <v>108</v>
      </c>
      <c r="C147" s="6" t="s">
        <v>108</v>
      </c>
      <c r="D147" s="7">
        <v>44945.583333333336</v>
      </c>
      <c r="E147" s="7">
        <v>44945.604166666664</v>
      </c>
      <c r="F147" s="6">
        <v>5</v>
      </c>
      <c r="G147" s="8" t="s">
        <v>52</v>
      </c>
      <c r="H147" s="8" t="s">
        <v>10</v>
      </c>
      <c r="I147" s="8" t="s">
        <v>10</v>
      </c>
      <c r="J147" s="8" t="s">
        <v>10</v>
      </c>
      <c r="K147" s="8" t="s">
        <v>10</v>
      </c>
      <c r="L147" s="8" t="s">
        <v>10</v>
      </c>
    </row>
    <row r="148" spans="2:12" x14ac:dyDescent="0.35">
      <c r="B148" s="6" t="s">
        <v>108</v>
      </c>
      <c r="C148" s="6" t="s">
        <v>108</v>
      </c>
      <c r="D148" s="7">
        <v>44945.625</v>
      </c>
      <c r="E148" s="7">
        <v>44945.666666666664</v>
      </c>
      <c r="F148" s="6">
        <v>10</v>
      </c>
      <c r="G148" s="8" t="s">
        <v>147</v>
      </c>
      <c r="H148" s="8" t="s">
        <v>10</v>
      </c>
      <c r="I148" s="8" t="s">
        <v>10</v>
      </c>
      <c r="J148" s="8" t="s">
        <v>10</v>
      </c>
      <c r="K148" s="8" t="s">
        <v>10</v>
      </c>
      <c r="L148" s="8" t="s">
        <v>10</v>
      </c>
    </row>
    <row r="149" spans="2:12" x14ac:dyDescent="0.35">
      <c r="B149" s="6" t="s">
        <v>108</v>
      </c>
      <c r="C149" s="6" t="s">
        <v>108</v>
      </c>
      <c r="D149" s="7">
        <v>44945.666666666664</v>
      </c>
      <c r="E149" s="7">
        <v>44945.708333333336</v>
      </c>
      <c r="F149" s="6">
        <v>10</v>
      </c>
      <c r="G149" s="8" t="s">
        <v>17</v>
      </c>
      <c r="H149" s="8" t="s">
        <v>10</v>
      </c>
      <c r="I149" s="8" t="s">
        <v>10</v>
      </c>
      <c r="J149" s="8" t="s">
        <v>10</v>
      </c>
      <c r="K149" s="8" t="s">
        <v>10</v>
      </c>
      <c r="L149" s="8" t="s">
        <v>10</v>
      </c>
    </row>
    <row r="150" spans="2:12" x14ac:dyDescent="0.35">
      <c r="B150" s="6" t="s">
        <v>108</v>
      </c>
      <c r="C150" s="6" t="s">
        <v>108</v>
      </c>
      <c r="D150" s="7">
        <v>44945.677083333336</v>
      </c>
      <c r="E150" s="7">
        <v>44945.78125</v>
      </c>
      <c r="F150" s="6">
        <v>25</v>
      </c>
      <c r="G150" s="8" t="s">
        <v>53</v>
      </c>
      <c r="H150" s="8" t="s">
        <v>10</v>
      </c>
      <c r="I150" s="8" t="s">
        <v>10</v>
      </c>
      <c r="J150" s="8" t="s">
        <v>10</v>
      </c>
      <c r="K150" s="8" t="s">
        <v>10</v>
      </c>
      <c r="L150" s="8" t="s">
        <v>10</v>
      </c>
    </row>
    <row r="151" spans="2:12" x14ac:dyDescent="0.35">
      <c r="B151" s="6" t="s">
        <v>108</v>
      </c>
      <c r="C151" s="6" t="s">
        <v>108</v>
      </c>
      <c r="D151" s="7">
        <v>44946.375</v>
      </c>
      <c r="E151" s="7">
        <v>44946.458333333336</v>
      </c>
      <c r="F151" s="6">
        <v>20</v>
      </c>
      <c r="G151" s="8" t="s">
        <v>148</v>
      </c>
      <c r="H151" s="8" t="s">
        <v>10</v>
      </c>
      <c r="I151" s="8" t="s">
        <v>10</v>
      </c>
      <c r="J151" s="8" t="s">
        <v>10</v>
      </c>
      <c r="K151" s="8" t="s">
        <v>10</v>
      </c>
      <c r="L151" s="8" t="s">
        <v>10</v>
      </c>
    </row>
    <row r="152" spans="2:12" x14ac:dyDescent="0.35">
      <c r="B152" s="6" t="s">
        <v>108</v>
      </c>
      <c r="C152" s="6" t="s">
        <v>108</v>
      </c>
      <c r="D152" s="7">
        <v>44946.385416666664</v>
      </c>
      <c r="E152" s="7">
        <v>44946.427083333336</v>
      </c>
      <c r="F152" s="6">
        <v>10</v>
      </c>
      <c r="G152" s="8" t="s">
        <v>54</v>
      </c>
      <c r="H152" s="8" t="s">
        <v>10</v>
      </c>
      <c r="I152" s="8" t="s">
        <v>10</v>
      </c>
      <c r="J152" s="8" t="s">
        <v>10</v>
      </c>
      <c r="K152" s="8" t="s">
        <v>10</v>
      </c>
      <c r="L152" s="8" t="s">
        <v>10</v>
      </c>
    </row>
    <row r="153" spans="2:12" x14ac:dyDescent="0.35">
      <c r="B153" s="6" t="s">
        <v>108</v>
      </c>
      <c r="C153" s="6" t="s">
        <v>108</v>
      </c>
      <c r="D153" s="7">
        <v>44946.427083333336</v>
      </c>
      <c r="E153" s="7">
        <v>44946.5</v>
      </c>
      <c r="F153" s="6">
        <v>175</v>
      </c>
      <c r="G153" s="8" t="s">
        <v>55</v>
      </c>
      <c r="H153" s="8" t="s">
        <v>10</v>
      </c>
      <c r="I153" s="8" t="s">
        <v>10</v>
      </c>
      <c r="J153" s="8" t="s">
        <v>10</v>
      </c>
      <c r="K153" s="8" t="s">
        <v>10</v>
      </c>
      <c r="L153" s="8" t="s">
        <v>10</v>
      </c>
    </row>
    <row r="154" spans="2:12" x14ac:dyDescent="0.35">
      <c r="B154" s="6" t="s">
        <v>108</v>
      </c>
      <c r="C154" s="6" t="s">
        <v>108</v>
      </c>
      <c r="D154" s="7">
        <v>44946.458333333336</v>
      </c>
      <c r="E154" s="7">
        <v>44946.5</v>
      </c>
      <c r="F154" s="6">
        <v>10</v>
      </c>
      <c r="G154" s="8" t="s">
        <v>56</v>
      </c>
      <c r="H154" s="8" t="s">
        <v>10</v>
      </c>
      <c r="I154" s="8" t="s">
        <v>10</v>
      </c>
      <c r="J154" s="8" t="s">
        <v>10</v>
      </c>
      <c r="K154" s="8" t="s">
        <v>10</v>
      </c>
      <c r="L154" s="8" t="s">
        <v>10</v>
      </c>
    </row>
    <row r="155" spans="2:12" x14ac:dyDescent="0.35">
      <c r="B155" s="6" t="s">
        <v>108</v>
      </c>
      <c r="C155" s="6" t="s">
        <v>108</v>
      </c>
      <c r="D155" s="7">
        <v>44946.479166666664</v>
      </c>
      <c r="E155" s="7">
        <v>44946.5</v>
      </c>
      <c r="F155" s="6">
        <v>5</v>
      </c>
      <c r="G155" s="8" t="s">
        <v>115</v>
      </c>
      <c r="H155" s="8" t="s">
        <v>10</v>
      </c>
      <c r="I155" s="8" t="s">
        <v>10</v>
      </c>
      <c r="J155" s="8" t="s">
        <v>10</v>
      </c>
      <c r="K155" s="8" t="s">
        <v>10</v>
      </c>
      <c r="L155" s="8" t="s">
        <v>10</v>
      </c>
    </row>
    <row r="156" spans="2:12" x14ac:dyDescent="0.35">
      <c r="B156" s="6" t="s">
        <v>108</v>
      </c>
      <c r="C156" s="6" t="s">
        <v>108</v>
      </c>
      <c r="D156" s="7">
        <v>44946.5</v>
      </c>
      <c r="E156" s="7">
        <v>44946.541666666664</v>
      </c>
      <c r="F156" s="6">
        <v>10</v>
      </c>
      <c r="G156" s="8" t="s">
        <v>111</v>
      </c>
      <c r="H156" s="8" t="s">
        <v>10</v>
      </c>
      <c r="I156" s="8" t="s">
        <v>10</v>
      </c>
      <c r="J156" s="8" t="s">
        <v>10</v>
      </c>
      <c r="K156" s="8" t="s">
        <v>10</v>
      </c>
      <c r="L156" s="8" t="s">
        <v>10</v>
      </c>
    </row>
    <row r="157" spans="2:12" x14ac:dyDescent="0.35">
      <c r="B157" s="6" t="s">
        <v>108</v>
      </c>
      <c r="C157" s="6" t="s">
        <v>108</v>
      </c>
      <c r="D157" s="7">
        <v>44946.5625</v>
      </c>
      <c r="E157" s="7">
        <v>44946.625</v>
      </c>
      <c r="F157" s="6">
        <v>15</v>
      </c>
      <c r="G157" s="8" t="s">
        <v>149</v>
      </c>
      <c r="H157" s="8" t="s">
        <v>10</v>
      </c>
      <c r="I157" s="8" t="s">
        <v>10</v>
      </c>
      <c r="J157" s="8" t="s">
        <v>10</v>
      </c>
      <c r="K157" s="8" t="s">
        <v>10</v>
      </c>
      <c r="L157" s="8" t="s">
        <v>10</v>
      </c>
    </row>
    <row r="158" spans="2:12" x14ac:dyDescent="0.35">
      <c r="B158" s="6" t="s">
        <v>108</v>
      </c>
      <c r="C158" s="6" t="s">
        <v>108</v>
      </c>
      <c r="D158" s="7">
        <v>44946.625</v>
      </c>
      <c r="E158" s="7">
        <v>44946.635416666664</v>
      </c>
      <c r="F158" s="6">
        <v>25</v>
      </c>
      <c r="G158" s="8" t="s">
        <v>57</v>
      </c>
      <c r="H158" s="8" t="s">
        <v>10</v>
      </c>
      <c r="I158" s="8" t="s">
        <v>10</v>
      </c>
      <c r="J158" s="8" t="s">
        <v>10</v>
      </c>
      <c r="K158" s="8" t="s">
        <v>10</v>
      </c>
      <c r="L158" s="8" t="s">
        <v>10</v>
      </c>
    </row>
    <row r="159" spans="2:12" x14ac:dyDescent="0.35">
      <c r="B159" s="6" t="s">
        <v>108</v>
      </c>
      <c r="C159" s="6" t="s">
        <v>108</v>
      </c>
      <c r="D159" s="7">
        <v>44946.666666666664</v>
      </c>
      <c r="E159" s="7">
        <v>44946.6875</v>
      </c>
      <c r="F159" s="6">
        <v>5</v>
      </c>
      <c r="G159" s="8" t="s">
        <v>24</v>
      </c>
      <c r="H159" s="8" t="s">
        <v>10</v>
      </c>
      <c r="I159" s="8" t="s">
        <v>10</v>
      </c>
      <c r="J159" s="8" t="s">
        <v>10</v>
      </c>
      <c r="K159" s="8" t="s">
        <v>10</v>
      </c>
      <c r="L159" s="8" t="s">
        <v>10</v>
      </c>
    </row>
    <row r="160" spans="2:12" x14ac:dyDescent="0.35">
      <c r="B160" s="6" t="s">
        <v>108</v>
      </c>
      <c r="C160" s="6" t="s">
        <v>108</v>
      </c>
      <c r="D160" s="7">
        <v>44947.479166666664</v>
      </c>
      <c r="E160" s="7">
        <v>44947.5</v>
      </c>
      <c r="F160" s="6">
        <v>5</v>
      </c>
      <c r="G160" s="8" t="s">
        <v>115</v>
      </c>
      <c r="H160" s="8" t="s">
        <v>10</v>
      </c>
      <c r="I160" s="8" t="s">
        <v>10</v>
      </c>
      <c r="J160" s="8" t="s">
        <v>10</v>
      </c>
      <c r="K160" s="8" t="s">
        <v>10</v>
      </c>
      <c r="L160" s="8" t="s">
        <v>10</v>
      </c>
    </row>
    <row r="161" spans="2:12" x14ac:dyDescent="0.35">
      <c r="B161" s="6" t="s">
        <v>108</v>
      </c>
      <c r="C161" s="6" t="s">
        <v>108</v>
      </c>
      <c r="D161" s="7">
        <v>44948.479166666664</v>
      </c>
      <c r="E161" s="7">
        <v>44948.5</v>
      </c>
      <c r="F161" s="6">
        <v>5</v>
      </c>
      <c r="G161" s="8" t="s">
        <v>115</v>
      </c>
      <c r="H161" s="8" t="s">
        <v>10</v>
      </c>
      <c r="I161" s="8" t="s">
        <v>10</v>
      </c>
      <c r="J161" s="8" t="s">
        <v>10</v>
      </c>
      <c r="K161" s="8" t="s">
        <v>10</v>
      </c>
      <c r="L161" s="8" t="s">
        <v>10</v>
      </c>
    </row>
    <row r="162" spans="2:12" x14ac:dyDescent="0.35">
      <c r="B162" s="6" t="s">
        <v>108</v>
      </c>
      <c r="C162" s="6" t="s">
        <v>108</v>
      </c>
      <c r="D162" s="7">
        <v>44949.364583333336</v>
      </c>
      <c r="E162" s="7">
        <v>44949.385416666664</v>
      </c>
      <c r="F162" s="6">
        <v>5</v>
      </c>
      <c r="G162" s="8" t="s">
        <v>9</v>
      </c>
      <c r="H162" s="8" t="s">
        <v>10</v>
      </c>
      <c r="I162" s="8" t="s">
        <v>10</v>
      </c>
      <c r="J162" s="8" t="s">
        <v>10</v>
      </c>
      <c r="K162" s="8" t="s">
        <v>10</v>
      </c>
      <c r="L162" s="8" t="s">
        <v>10</v>
      </c>
    </row>
    <row r="163" spans="2:12" x14ac:dyDescent="0.35">
      <c r="B163" s="6" t="s">
        <v>108</v>
      </c>
      <c r="C163" s="6" t="s">
        <v>108</v>
      </c>
      <c r="D163" s="7">
        <v>44949.375</v>
      </c>
      <c r="E163" s="7">
        <v>44949.416666666664</v>
      </c>
      <c r="F163" s="6">
        <v>10</v>
      </c>
      <c r="G163" s="8" t="s">
        <v>58</v>
      </c>
      <c r="H163" s="8" t="s">
        <v>10</v>
      </c>
      <c r="I163" s="8" t="s">
        <v>10</v>
      </c>
      <c r="J163" s="8" t="s">
        <v>10</v>
      </c>
      <c r="K163" s="8" t="s">
        <v>10</v>
      </c>
      <c r="L163" s="8" t="s">
        <v>10</v>
      </c>
    </row>
    <row r="164" spans="2:12" x14ac:dyDescent="0.35">
      <c r="B164" s="6" t="s">
        <v>108</v>
      </c>
      <c r="C164" s="6" t="s">
        <v>108</v>
      </c>
      <c r="D164" s="7">
        <v>44949.4375</v>
      </c>
      <c r="E164" s="7">
        <v>44949.479166666664</v>
      </c>
      <c r="F164" s="6">
        <v>10</v>
      </c>
      <c r="G164" s="8" t="s">
        <v>127</v>
      </c>
      <c r="H164" s="8" t="s">
        <v>10</v>
      </c>
      <c r="I164" s="8" t="s">
        <v>10</v>
      </c>
      <c r="J164" s="8" t="s">
        <v>10</v>
      </c>
      <c r="K164" s="8" t="s">
        <v>10</v>
      </c>
      <c r="L164" s="8" t="s">
        <v>10</v>
      </c>
    </row>
    <row r="165" spans="2:12" x14ac:dyDescent="0.35">
      <c r="B165" s="6" t="s">
        <v>108</v>
      </c>
      <c r="C165" s="6" t="s">
        <v>108</v>
      </c>
      <c r="D165" s="7">
        <v>44949.479166666664</v>
      </c>
      <c r="E165" s="7">
        <v>44949.5</v>
      </c>
      <c r="F165" s="6">
        <v>5</v>
      </c>
      <c r="G165" s="8" t="s">
        <v>115</v>
      </c>
      <c r="H165" s="8" t="s">
        <v>10</v>
      </c>
      <c r="I165" s="8" t="s">
        <v>10</v>
      </c>
      <c r="J165" s="8" t="s">
        <v>10</v>
      </c>
      <c r="K165" s="8" t="s">
        <v>10</v>
      </c>
      <c r="L165" s="8" t="s">
        <v>10</v>
      </c>
    </row>
    <row r="166" spans="2:12" x14ac:dyDescent="0.35">
      <c r="B166" s="6" t="s">
        <v>108</v>
      </c>
      <c r="C166" s="6" t="s">
        <v>108</v>
      </c>
      <c r="D166" s="7">
        <v>44949.5</v>
      </c>
      <c r="E166" s="7">
        <v>44949.5625</v>
      </c>
      <c r="F166" s="6">
        <v>15</v>
      </c>
      <c r="G166" s="8" t="s">
        <v>111</v>
      </c>
      <c r="H166" s="8" t="s">
        <v>10</v>
      </c>
      <c r="I166" s="8" t="s">
        <v>10</v>
      </c>
      <c r="J166" s="8" t="s">
        <v>10</v>
      </c>
      <c r="K166" s="8" t="s">
        <v>10</v>
      </c>
      <c r="L166" s="8" t="s">
        <v>10</v>
      </c>
    </row>
    <row r="167" spans="2:12" x14ac:dyDescent="0.35">
      <c r="B167" s="6" t="s">
        <v>108</v>
      </c>
      <c r="C167" s="6" t="s">
        <v>108</v>
      </c>
      <c r="D167" s="7">
        <v>44949.583333333336</v>
      </c>
      <c r="E167" s="7">
        <v>44949.625</v>
      </c>
      <c r="F167" s="6">
        <v>10</v>
      </c>
      <c r="G167" s="8" t="s">
        <v>150</v>
      </c>
      <c r="H167" s="8" t="s">
        <v>10</v>
      </c>
      <c r="I167" s="8" t="s">
        <v>10</v>
      </c>
      <c r="J167" s="8" t="s">
        <v>10</v>
      </c>
      <c r="K167" s="8" t="s">
        <v>10</v>
      </c>
      <c r="L167" s="8" t="s">
        <v>10</v>
      </c>
    </row>
    <row r="168" spans="2:12" x14ac:dyDescent="0.35">
      <c r="B168" s="6" t="s">
        <v>108</v>
      </c>
      <c r="C168" s="6" t="s">
        <v>108</v>
      </c>
      <c r="D168" s="7">
        <v>44949.625</v>
      </c>
      <c r="E168" s="7">
        <v>44949.666666666664</v>
      </c>
      <c r="F168" s="6">
        <v>10</v>
      </c>
      <c r="G168" s="8" t="s">
        <v>112</v>
      </c>
      <c r="H168" s="8" t="s">
        <v>10</v>
      </c>
      <c r="I168" s="8" t="s">
        <v>10</v>
      </c>
      <c r="J168" s="8" t="s">
        <v>10</v>
      </c>
      <c r="K168" s="8" t="s">
        <v>10</v>
      </c>
      <c r="L168" s="8" t="s">
        <v>10</v>
      </c>
    </row>
    <row r="169" spans="2:12" x14ac:dyDescent="0.35">
      <c r="B169" s="6" t="s">
        <v>108</v>
      </c>
      <c r="C169" s="6" t="s">
        <v>108</v>
      </c>
      <c r="D169" s="7">
        <v>44949.666666666664</v>
      </c>
      <c r="E169" s="7">
        <v>44949.708333333336</v>
      </c>
      <c r="F169" s="6">
        <v>10</v>
      </c>
      <c r="G169" s="8" t="s">
        <v>16</v>
      </c>
      <c r="H169" s="8" t="s">
        <v>10</v>
      </c>
      <c r="I169" s="8" t="s">
        <v>10</v>
      </c>
      <c r="J169" s="8" t="s">
        <v>10</v>
      </c>
      <c r="K169" s="8" t="s">
        <v>10</v>
      </c>
      <c r="L169" s="8" t="s">
        <v>10</v>
      </c>
    </row>
    <row r="170" spans="2:12" x14ac:dyDescent="0.35">
      <c r="B170" s="6" t="s">
        <v>108</v>
      </c>
      <c r="C170" s="6" t="s">
        <v>108</v>
      </c>
      <c r="D170" s="7">
        <v>44949.708333333336</v>
      </c>
      <c r="E170" s="7">
        <v>44949.729166666664</v>
      </c>
      <c r="F170" s="6">
        <v>5</v>
      </c>
      <c r="G170" s="8" t="s">
        <v>151</v>
      </c>
      <c r="H170" s="8" t="s">
        <v>10</v>
      </c>
      <c r="I170" s="8" t="s">
        <v>10</v>
      </c>
      <c r="J170" s="8" t="s">
        <v>10</v>
      </c>
      <c r="K170" s="8" t="s">
        <v>10</v>
      </c>
      <c r="L170" s="8" t="s">
        <v>10</v>
      </c>
    </row>
    <row r="171" spans="2:12" x14ac:dyDescent="0.35">
      <c r="B171" s="6" t="s">
        <v>108</v>
      </c>
      <c r="C171" s="6" t="s">
        <v>108</v>
      </c>
      <c r="D171" s="7">
        <v>44949.729166666664</v>
      </c>
      <c r="E171" s="7">
        <v>44949.739583333336</v>
      </c>
      <c r="F171" s="6">
        <v>25</v>
      </c>
      <c r="G171" s="8" t="s">
        <v>110</v>
      </c>
      <c r="H171" s="8" t="s">
        <v>10</v>
      </c>
      <c r="I171" s="8" t="s">
        <v>10</v>
      </c>
      <c r="J171" s="8" t="s">
        <v>10</v>
      </c>
      <c r="K171" s="8" t="s">
        <v>10</v>
      </c>
      <c r="L171" s="8" t="s">
        <v>10</v>
      </c>
    </row>
    <row r="172" spans="2:12" x14ac:dyDescent="0.35">
      <c r="B172" s="6" t="s">
        <v>108</v>
      </c>
      <c r="C172" s="6" t="s">
        <v>108</v>
      </c>
      <c r="D172" s="7">
        <v>44950.364583333336</v>
      </c>
      <c r="E172" s="7">
        <v>44950.385416666664</v>
      </c>
      <c r="F172" s="6">
        <v>5</v>
      </c>
      <c r="G172" s="8" t="s">
        <v>9</v>
      </c>
      <c r="H172" s="8" t="s">
        <v>10</v>
      </c>
      <c r="I172" s="8" t="s">
        <v>10</v>
      </c>
      <c r="J172" s="8" t="s">
        <v>10</v>
      </c>
      <c r="K172" s="8" t="s">
        <v>10</v>
      </c>
      <c r="L172" s="8" t="s">
        <v>10</v>
      </c>
    </row>
    <row r="173" spans="2:12" x14ac:dyDescent="0.35">
      <c r="B173" s="6" t="s">
        <v>108</v>
      </c>
      <c r="C173" s="6" t="s">
        <v>108</v>
      </c>
      <c r="D173" s="7">
        <v>44950.395833333336</v>
      </c>
      <c r="E173" s="7">
        <v>44950.416666666664</v>
      </c>
      <c r="F173" s="6">
        <v>5</v>
      </c>
      <c r="G173" s="8" t="s">
        <v>113</v>
      </c>
      <c r="H173" s="8" t="s">
        <v>10</v>
      </c>
      <c r="I173" s="8" t="s">
        <v>10</v>
      </c>
      <c r="J173" s="8" t="s">
        <v>10</v>
      </c>
      <c r="K173" s="8" t="s">
        <v>10</v>
      </c>
      <c r="L173" s="8" t="s">
        <v>10</v>
      </c>
    </row>
    <row r="174" spans="2:12" x14ac:dyDescent="0.35">
      <c r="B174" s="6" t="s">
        <v>108</v>
      </c>
      <c r="C174" s="6" t="s">
        <v>108</v>
      </c>
      <c r="D174" s="7">
        <v>44950.395833333336</v>
      </c>
      <c r="E174" s="7">
        <v>44950.40625</v>
      </c>
      <c r="F174" s="6">
        <v>25</v>
      </c>
      <c r="G174" s="8" t="s">
        <v>152</v>
      </c>
      <c r="H174" s="8" t="s">
        <v>10</v>
      </c>
      <c r="I174" s="8" t="s">
        <v>10</v>
      </c>
      <c r="J174" s="8" t="s">
        <v>10</v>
      </c>
      <c r="K174" s="8" t="s">
        <v>10</v>
      </c>
      <c r="L174" s="8" t="s">
        <v>10</v>
      </c>
    </row>
    <row r="175" spans="2:12" x14ac:dyDescent="0.35">
      <c r="B175" s="6" t="s">
        <v>108</v>
      </c>
      <c r="C175" s="6" t="s">
        <v>108</v>
      </c>
      <c r="D175" s="7">
        <v>44950.416666666664</v>
      </c>
      <c r="E175" s="7">
        <v>44950.479166666664</v>
      </c>
      <c r="F175" s="6">
        <v>15</v>
      </c>
      <c r="G175" s="8" t="s">
        <v>153</v>
      </c>
      <c r="H175" s="8" t="s">
        <v>10</v>
      </c>
      <c r="I175" s="8" t="s">
        <v>10</v>
      </c>
      <c r="J175" s="8" t="s">
        <v>10</v>
      </c>
      <c r="K175" s="8" t="s">
        <v>10</v>
      </c>
      <c r="L175" s="8" t="s">
        <v>10</v>
      </c>
    </row>
    <row r="176" spans="2:12" x14ac:dyDescent="0.35">
      <c r="B176" s="6" t="s">
        <v>108</v>
      </c>
      <c r="C176" s="6" t="s">
        <v>108</v>
      </c>
      <c r="D176" s="7">
        <v>44950.479166666664</v>
      </c>
      <c r="E176" s="7">
        <v>44950.5</v>
      </c>
      <c r="F176" s="6">
        <v>5</v>
      </c>
      <c r="G176" s="8" t="s">
        <v>59</v>
      </c>
      <c r="H176" s="8" t="s">
        <v>10</v>
      </c>
      <c r="I176" s="8" t="s">
        <v>10</v>
      </c>
      <c r="J176" s="8" t="s">
        <v>10</v>
      </c>
      <c r="K176" s="8" t="s">
        <v>10</v>
      </c>
      <c r="L176" s="8" t="s">
        <v>10</v>
      </c>
    </row>
    <row r="177" spans="2:12" x14ac:dyDescent="0.35">
      <c r="B177" s="6" t="s">
        <v>108</v>
      </c>
      <c r="C177" s="6" t="s">
        <v>108</v>
      </c>
      <c r="D177" s="7">
        <v>44950.479166666664</v>
      </c>
      <c r="E177" s="7">
        <v>44950.5</v>
      </c>
      <c r="F177" s="6">
        <v>5</v>
      </c>
      <c r="G177" s="8" t="s">
        <v>115</v>
      </c>
      <c r="H177" s="8" t="s">
        <v>10</v>
      </c>
      <c r="I177" s="8" t="s">
        <v>10</v>
      </c>
      <c r="J177" s="8" t="s">
        <v>10</v>
      </c>
      <c r="K177" s="8" t="s">
        <v>10</v>
      </c>
      <c r="L177" s="8" t="s">
        <v>10</v>
      </c>
    </row>
    <row r="178" spans="2:12" x14ac:dyDescent="0.35">
      <c r="B178" s="6" t="s">
        <v>108</v>
      </c>
      <c r="C178" s="6" t="s">
        <v>108</v>
      </c>
      <c r="D178" s="7">
        <v>44950.5</v>
      </c>
      <c r="E178" s="7">
        <v>44950.5625</v>
      </c>
      <c r="F178" s="6">
        <v>15</v>
      </c>
      <c r="G178" s="8" t="s">
        <v>111</v>
      </c>
      <c r="H178" s="8" t="s">
        <v>10</v>
      </c>
      <c r="I178" s="8" t="s">
        <v>10</v>
      </c>
      <c r="J178" s="8" t="s">
        <v>10</v>
      </c>
      <c r="K178" s="8" t="s">
        <v>10</v>
      </c>
      <c r="L178" s="8" t="s">
        <v>10</v>
      </c>
    </row>
    <row r="179" spans="2:12" x14ac:dyDescent="0.35">
      <c r="B179" s="6" t="s">
        <v>108</v>
      </c>
      <c r="C179" s="6" t="s">
        <v>108</v>
      </c>
      <c r="D179" s="7">
        <v>44950.510416666664</v>
      </c>
      <c r="E179" s="7">
        <v>44950.552083333336</v>
      </c>
      <c r="F179" s="6">
        <v>10</v>
      </c>
      <c r="G179" s="8" t="s">
        <v>116</v>
      </c>
      <c r="H179" s="8" t="s">
        <v>10</v>
      </c>
      <c r="I179" s="8" t="s">
        <v>10</v>
      </c>
      <c r="J179" s="8" t="s">
        <v>10</v>
      </c>
      <c r="K179" s="8" t="s">
        <v>10</v>
      </c>
      <c r="L179" s="8" t="s">
        <v>10</v>
      </c>
    </row>
    <row r="180" spans="2:12" x14ac:dyDescent="0.35">
      <c r="B180" s="6" t="s">
        <v>108</v>
      </c>
      <c r="C180" s="6" t="s">
        <v>108</v>
      </c>
      <c r="D180" s="7">
        <v>44950.5625</v>
      </c>
      <c r="E180" s="7">
        <v>44950.583333333336</v>
      </c>
      <c r="F180" s="6">
        <v>5</v>
      </c>
      <c r="G180" s="8" t="s">
        <v>60</v>
      </c>
      <c r="H180" s="8" t="s">
        <v>10</v>
      </c>
      <c r="I180" s="8" t="s">
        <v>10</v>
      </c>
      <c r="J180" s="8" t="s">
        <v>10</v>
      </c>
      <c r="K180" s="8" t="s">
        <v>10</v>
      </c>
      <c r="L180" s="8" t="s">
        <v>10</v>
      </c>
    </row>
    <row r="181" spans="2:12" x14ac:dyDescent="0.35">
      <c r="B181" s="6" t="s">
        <v>108</v>
      </c>
      <c r="C181" s="6" t="s">
        <v>108</v>
      </c>
      <c r="D181" s="7">
        <v>44950.583333333336</v>
      </c>
      <c r="E181" s="7">
        <v>44950.604166666664</v>
      </c>
      <c r="F181" s="6">
        <v>5</v>
      </c>
      <c r="G181" s="8" t="s">
        <v>12</v>
      </c>
      <c r="H181" s="8" t="s">
        <v>10</v>
      </c>
      <c r="I181" s="8" t="s">
        <v>10</v>
      </c>
      <c r="J181" s="8" t="s">
        <v>10</v>
      </c>
      <c r="K181" s="8" t="s">
        <v>10</v>
      </c>
      <c r="L181" s="8" t="s">
        <v>10</v>
      </c>
    </row>
    <row r="182" spans="2:12" x14ac:dyDescent="0.35">
      <c r="B182" s="6" t="s">
        <v>108</v>
      </c>
      <c r="C182" s="6" t="s">
        <v>108</v>
      </c>
      <c r="D182" s="7">
        <v>44950.604166666664</v>
      </c>
      <c r="E182" s="7">
        <v>44950.645833333336</v>
      </c>
      <c r="F182" s="6">
        <v>10</v>
      </c>
      <c r="G182" s="8" t="s">
        <v>26</v>
      </c>
      <c r="H182" s="8" t="s">
        <v>10</v>
      </c>
      <c r="I182" s="8" t="s">
        <v>10</v>
      </c>
      <c r="J182" s="8" t="s">
        <v>10</v>
      </c>
      <c r="K182" s="8" t="s">
        <v>10</v>
      </c>
      <c r="L182" s="8" t="s">
        <v>10</v>
      </c>
    </row>
    <row r="183" spans="2:12" x14ac:dyDescent="0.35">
      <c r="B183" s="6" t="s">
        <v>108</v>
      </c>
      <c r="C183" s="6" t="s">
        <v>108</v>
      </c>
      <c r="D183" s="7">
        <v>44950.625</v>
      </c>
      <c r="E183" s="7">
        <v>44950.65625</v>
      </c>
      <c r="F183" s="6">
        <v>75</v>
      </c>
      <c r="G183" s="8" t="s">
        <v>154</v>
      </c>
      <c r="H183" s="8" t="s">
        <v>10</v>
      </c>
      <c r="I183" s="8" t="s">
        <v>10</v>
      </c>
      <c r="J183" s="8" t="s">
        <v>10</v>
      </c>
      <c r="K183" s="8" t="s">
        <v>10</v>
      </c>
      <c r="L183" s="8" t="s">
        <v>10</v>
      </c>
    </row>
    <row r="184" spans="2:12" x14ac:dyDescent="0.35">
      <c r="B184" s="6" t="s">
        <v>108</v>
      </c>
      <c r="C184" s="6" t="s">
        <v>108</v>
      </c>
      <c r="D184" s="7">
        <v>44950.625</v>
      </c>
      <c r="E184" s="7">
        <v>44950.65625</v>
      </c>
      <c r="F184" s="6">
        <v>75</v>
      </c>
      <c r="G184" s="8" t="s">
        <v>154</v>
      </c>
      <c r="H184" s="8" t="s">
        <v>10</v>
      </c>
      <c r="I184" s="8" t="s">
        <v>10</v>
      </c>
      <c r="J184" s="8" t="s">
        <v>10</v>
      </c>
      <c r="K184" s="8" t="s">
        <v>10</v>
      </c>
      <c r="L184" s="8" t="s">
        <v>10</v>
      </c>
    </row>
    <row r="185" spans="2:12" x14ac:dyDescent="0.35">
      <c r="B185" s="6" t="s">
        <v>108</v>
      </c>
      <c r="C185" s="6" t="s">
        <v>108</v>
      </c>
      <c r="D185" s="7">
        <v>44950.645833333336</v>
      </c>
      <c r="E185" s="7">
        <v>44950.729166666664</v>
      </c>
      <c r="F185" s="6">
        <v>20</v>
      </c>
      <c r="G185" s="8" t="s">
        <v>155</v>
      </c>
      <c r="H185" s="8" t="s">
        <v>10</v>
      </c>
      <c r="I185" s="8" t="s">
        <v>10</v>
      </c>
      <c r="J185" s="8" t="s">
        <v>10</v>
      </c>
      <c r="K185" s="8" t="s">
        <v>10</v>
      </c>
      <c r="L185" s="8" t="s">
        <v>10</v>
      </c>
    </row>
    <row r="186" spans="2:12" x14ac:dyDescent="0.35">
      <c r="B186" s="6" t="s">
        <v>108</v>
      </c>
      <c r="C186" s="6" t="s">
        <v>108</v>
      </c>
      <c r="D186" s="7">
        <v>44950.666666666664</v>
      </c>
      <c r="E186" s="7">
        <v>44950.6875</v>
      </c>
      <c r="F186" s="6">
        <v>5</v>
      </c>
      <c r="G186" s="8" t="s">
        <v>156</v>
      </c>
      <c r="H186" s="8" t="s">
        <v>10</v>
      </c>
      <c r="I186" s="8" t="s">
        <v>10</v>
      </c>
      <c r="J186" s="8" t="s">
        <v>10</v>
      </c>
      <c r="K186" s="8" t="s">
        <v>10</v>
      </c>
      <c r="L186" s="8" t="s">
        <v>10</v>
      </c>
    </row>
    <row r="187" spans="2:12" x14ac:dyDescent="0.35">
      <c r="B187" s="6" t="s">
        <v>108</v>
      </c>
      <c r="C187" s="6" t="s">
        <v>108</v>
      </c>
      <c r="D187" s="7">
        <v>44951.333333333336</v>
      </c>
      <c r="E187" s="7">
        <v>44951.364583333336</v>
      </c>
      <c r="F187" s="6">
        <v>75</v>
      </c>
      <c r="G187" s="8" t="s">
        <v>61</v>
      </c>
      <c r="H187" s="8" t="s">
        <v>10</v>
      </c>
      <c r="I187" s="8" t="s">
        <v>10</v>
      </c>
      <c r="J187" s="8" t="s">
        <v>10</v>
      </c>
      <c r="K187" s="8" t="s">
        <v>10</v>
      </c>
      <c r="L187" s="8" t="s">
        <v>10</v>
      </c>
    </row>
    <row r="188" spans="2:12" x14ac:dyDescent="0.35">
      <c r="B188" s="6" t="s">
        <v>108</v>
      </c>
      <c r="C188" s="6" t="s">
        <v>108</v>
      </c>
      <c r="D188" s="7">
        <v>44951.364583333336</v>
      </c>
      <c r="E188" s="7">
        <v>44951.385416666664</v>
      </c>
      <c r="F188" s="6">
        <v>5</v>
      </c>
      <c r="G188" s="8" t="s">
        <v>9</v>
      </c>
      <c r="H188" s="8" t="s">
        <v>10</v>
      </c>
      <c r="I188" s="8" t="s">
        <v>10</v>
      </c>
      <c r="J188" s="8" t="s">
        <v>10</v>
      </c>
      <c r="K188" s="8" t="s">
        <v>10</v>
      </c>
      <c r="L188" s="8" t="s">
        <v>10</v>
      </c>
    </row>
    <row r="189" spans="2:12" x14ac:dyDescent="0.35">
      <c r="B189" s="6" t="s">
        <v>108</v>
      </c>
      <c r="C189" s="6" t="s">
        <v>108</v>
      </c>
      <c r="D189" s="7">
        <v>44951.385416666664</v>
      </c>
      <c r="E189" s="7">
        <v>44951.40625</v>
      </c>
      <c r="F189" s="6">
        <v>5</v>
      </c>
      <c r="G189" s="8" t="s">
        <v>62</v>
      </c>
      <c r="H189" s="8" t="s">
        <v>10</v>
      </c>
      <c r="I189" s="8" t="s">
        <v>10</v>
      </c>
      <c r="J189" s="8" t="s">
        <v>10</v>
      </c>
      <c r="K189" s="8" t="s">
        <v>10</v>
      </c>
      <c r="L189" s="8" t="s">
        <v>10</v>
      </c>
    </row>
    <row r="190" spans="2:12" x14ac:dyDescent="0.35">
      <c r="B190" s="6" t="s">
        <v>108</v>
      </c>
      <c r="C190" s="6" t="s">
        <v>108</v>
      </c>
      <c r="D190" s="7">
        <v>44951.395833333336</v>
      </c>
      <c r="E190" s="7">
        <v>44951.458333333336</v>
      </c>
      <c r="F190" s="6">
        <v>15</v>
      </c>
      <c r="G190" s="8" t="s">
        <v>157</v>
      </c>
      <c r="H190" s="8" t="s">
        <v>10</v>
      </c>
      <c r="I190" s="8" t="s">
        <v>10</v>
      </c>
      <c r="J190" s="8" t="s">
        <v>10</v>
      </c>
      <c r="K190" s="8" t="s">
        <v>10</v>
      </c>
      <c r="L190" s="8" t="s">
        <v>10</v>
      </c>
    </row>
    <row r="191" spans="2:12" x14ac:dyDescent="0.35">
      <c r="B191" s="6" t="s">
        <v>108</v>
      </c>
      <c r="C191" s="6" t="s">
        <v>108</v>
      </c>
      <c r="D191" s="7">
        <v>44951.458333333336</v>
      </c>
      <c r="E191" s="7">
        <v>44951.479166666664</v>
      </c>
      <c r="F191" s="6">
        <v>5</v>
      </c>
      <c r="G191" s="8" t="s">
        <v>14</v>
      </c>
      <c r="H191" s="8" t="s">
        <v>10</v>
      </c>
      <c r="I191" s="8" t="s">
        <v>10</v>
      </c>
      <c r="J191" s="8" t="s">
        <v>10</v>
      </c>
      <c r="K191" s="8" t="s">
        <v>10</v>
      </c>
      <c r="L191" s="8" t="s">
        <v>10</v>
      </c>
    </row>
    <row r="192" spans="2:12" x14ac:dyDescent="0.35">
      <c r="B192" s="6" t="s">
        <v>108</v>
      </c>
      <c r="C192" s="6" t="s">
        <v>108</v>
      </c>
      <c r="D192" s="7">
        <v>44951.479166666664</v>
      </c>
      <c r="E192" s="7">
        <v>44951.5</v>
      </c>
      <c r="F192" s="6">
        <v>5</v>
      </c>
      <c r="G192" s="8" t="s">
        <v>115</v>
      </c>
      <c r="H192" s="8" t="s">
        <v>10</v>
      </c>
      <c r="I192" s="8" t="s">
        <v>10</v>
      </c>
      <c r="J192" s="8" t="s">
        <v>10</v>
      </c>
      <c r="K192" s="8" t="s">
        <v>10</v>
      </c>
      <c r="L192" s="8" t="s">
        <v>10</v>
      </c>
    </row>
    <row r="193" spans="2:12" x14ac:dyDescent="0.35">
      <c r="B193" s="6" t="s">
        <v>108</v>
      </c>
      <c r="C193" s="6" t="s">
        <v>108</v>
      </c>
      <c r="D193" s="7">
        <v>44951.479166666664</v>
      </c>
      <c r="E193" s="7">
        <v>44951.5</v>
      </c>
      <c r="F193" s="6">
        <v>5</v>
      </c>
      <c r="G193" s="8" t="s">
        <v>63</v>
      </c>
      <c r="H193" s="8" t="s">
        <v>10</v>
      </c>
      <c r="I193" s="8" t="s">
        <v>10</v>
      </c>
      <c r="J193" s="8" t="s">
        <v>10</v>
      </c>
      <c r="K193" s="8" t="s">
        <v>10</v>
      </c>
      <c r="L193" s="8" t="s">
        <v>10</v>
      </c>
    </row>
    <row r="194" spans="2:12" x14ac:dyDescent="0.35">
      <c r="B194" s="6" t="s">
        <v>108</v>
      </c>
      <c r="C194" s="6" t="s">
        <v>108</v>
      </c>
      <c r="D194" s="7">
        <v>44951.479166666664</v>
      </c>
      <c r="E194" s="7">
        <v>44951.5</v>
      </c>
      <c r="F194" s="6">
        <v>5</v>
      </c>
      <c r="G194" s="8" t="s">
        <v>15</v>
      </c>
      <c r="H194" s="8" t="s">
        <v>10</v>
      </c>
      <c r="I194" s="8" t="s">
        <v>10</v>
      </c>
      <c r="J194" s="8" t="s">
        <v>10</v>
      </c>
      <c r="K194" s="8" t="s">
        <v>10</v>
      </c>
      <c r="L194" s="8" t="s">
        <v>10</v>
      </c>
    </row>
    <row r="195" spans="2:12" x14ac:dyDescent="0.35">
      <c r="B195" s="6" t="s">
        <v>108</v>
      </c>
      <c r="C195" s="6" t="s">
        <v>108</v>
      </c>
      <c r="D195" s="7">
        <v>44951.5</v>
      </c>
      <c r="E195" s="7">
        <v>44951.666666666664</v>
      </c>
      <c r="F195" s="6">
        <v>40</v>
      </c>
      <c r="G195" s="8" t="s">
        <v>158</v>
      </c>
      <c r="H195" s="8" t="s">
        <v>10</v>
      </c>
      <c r="I195" s="8" t="s">
        <v>10</v>
      </c>
      <c r="J195" s="8" t="s">
        <v>10</v>
      </c>
      <c r="K195" s="8" t="s">
        <v>10</v>
      </c>
      <c r="L195" s="8" t="s">
        <v>10</v>
      </c>
    </row>
    <row r="196" spans="2:12" x14ac:dyDescent="0.35">
      <c r="B196" s="6" t="s">
        <v>108</v>
      </c>
      <c r="C196" s="6" t="s">
        <v>108</v>
      </c>
      <c r="D196" s="7">
        <v>44951.5</v>
      </c>
      <c r="E196" s="7">
        <v>44951.5625</v>
      </c>
      <c r="F196" s="6">
        <v>15</v>
      </c>
      <c r="G196" s="8" t="s">
        <v>111</v>
      </c>
      <c r="H196" s="8" t="s">
        <v>10</v>
      </c>
      <c r="I196" s="8" t="s">
        <v>10</v>
      </c>
      <c r="J196" s="8" t="s">
        <v>10</v>
      </c>
      <c r="K196" s="8" t="s">
        <v>10</v>
      </c>
      <c r="L196" s="8" t="s">
        <v>10</v>
      </c>
    </row>
    <row r="197" spans="2:12" x14ac:dyDescent="0.35">
      <c r="B197" s="6" t="s">
        <v>108</v>
      </c>
      <c r="C197" s="6" t="s">
        <v>108</v>
      </c>
      <c r="D197" s="7">
        <v>44951.5</v>
      </c>
      <c r="E197" s="7">
        <v>44951.541666666664</v>
      </c>
      <c r="F197" s="6">
        <v>10</v>
      </c>
      <c r="G197" s="8" t="s">
        <v>64</v>
      </c>
      <c r="H197" s="8" t="s">
        <v>10</v>
      </c>
      <c r="I197" s="8" t="s">
        <v>10</v>
      </c>
      <c r="J197" s="8" t="s">
        <v>10</v>
      </c>
      <c r="K197" s="8" t="s">
        <v>10</v>
      </c>
      <c r="L197" s="8" t="s">
        <v>10</v>
      </c>
    </row>
    <row r="198" spans="2:12" x14ac:dyDescent="0.35">
      <c r="B198" s="6" t="s">
        <v>108</v>
      </c>
      <c r="C198" s="6" t="s">
        <v>108</v>
      </c>
      <c r="D198" s="7">
        <v>44951.666666666664</v>
      </c>
      <c r="E198" s="7">
        <v>44951.708333333336</v>
      </c>
      <c r="F198" s="6">
        <v>10</v>
      </c>
      <c r="G198" s="8" t="s">
        <v>109</v>
      </c>
      <c r="H198" s="8" t="s">
        <v>10</v>
      </c>
      <c r="I198" s="8" t="s">
        <v>10</v>
      </c>
      <c r="J198" s="8" t="s">
        <v>10</v>
      </c>
      <c r="K198" s="8" t="s">
        <v>10</v>
      </c>
      <c r="L198" s="8" t="s">
        <v>10</v>
      </c>
    </row>
    <row r="199" spans="2:12" x14ac:dyDescent="0.35">
      <c r="B199" s="6" t="s">
        <v>108</v>
      </c>
      <c r="C199" s="6" t="s">
        <v>108</v>
      </c>
      <c r="D199" s="7">
        <v>44952.364583333336</v>
      </c>
      <c r="E199" s="7">
        <v>44952.385416666664</v>
      </c>
      <c r="F199" s="6">
        <v>5</v>
      </c>
      <c r="G199" s="8" t="s">
        <v>9</v>
      </c>
      <c r="H199" s="8" t="s">
        <v>10</v>
      </c>
      <c r="I199" s="8" t="s">
        <v>10</v>
      </c>
      <c r="J199" s="8" t="s">
        <v>10</v>
      </c>
      <c r="K199" s="8" t="s">
        <v>10</v>
      </c>
      <c r="L199" s="8" t="s">
        <v>10</v>
      </c>
    </row>
    <row r="200" spans="2:12" x14ac:dyDescent="0.35">
      <c r="B200" s="6" t="s">
        <v>108</v>
      </c>
      <c r="C200" s="6" t="s">
        <v>108</v>
      </c>
      <c r="D200" s="7">
        <v>44952.458333333336</v>
      </c>
      <c r="E200" s="7">
        <v>44952.5</v>
      </c>
      <c r="F200" s="6">
        <v>10</v>
      </c>
      <c r="G200" s="8" t="s">
        <v>120</v>
      </c>
      <c r="H200" s="8" t="s">
        <v>10</v>
      </c>
      <c r="I200" s="8" t="s">
        <v>10</v>
      </c>
      <c r="J200" s="8" t="s">
        <v>10</v>
      </c>
      <c r="K200" s="8" t="s">
        <v>10</v>
      </c>
      <c r="L200" s="8" t="s">
        <v>10</v>
      </c>
    </row>
    <row r="201" spans="2:12" x14ac:dyDescent="0.35">
      <c r="B201" s="6" t="s">
        <v>108</v>
      </c>
      <c r="C201" s="6" t="s">
        <v>108</v>
      </c>
      <c r="D201" s="7">
        <v>44952.479166666664</v>
      </c>
      <c r="E201" s="7">
        <v>44952.5</v>
      </c>
      <c r="F201" s="6">
        <v>5</v>
      </c>
      <c r="G201" s="8" t="s">
        <v>159</v>
      </c>
      <c r="H201" s="8" t="s">
        <v>10</v>
      </c>
      <c r="I201" s="8" t="s">
        <v>10</v>
      </c>
      <c r="J201" s="8" t="s">
        <v>10</v>
      </c>
      <c r="K201" s="8" t="s">
        <v>10</v>
      </c>
      <c r="L201" s="8" t="s">
        <v>10</v>
      </c>
    </row>
    <row r="202" spans="2:12" x14ac:dyDescent="0.35">
      <c r="B202" s="6" t="s">
        <v>108</v>
      </c>
      <c r="C202" s="6" t="s">
        <v>108</v>
      </c>
      <c r="D202" s="7">
        <v>44952.479166666664</v>
      </c>
      <c r="E202" s="7">
        <v>44952.5</v>
      </c>
      <c r="F202" s="6">
        <v>5</v>
      </c>
      <c r="G202" s="8" t="s">
        <v>115</v>
      </c>
      <c r="H202" s="8" t="s">
        <v>10</v>
      </c>
      <c r="I202" s="8" t="s">
        <v>10</v>
      </c>
      <c r="J202" s="8" t="s">
        <v>10</v>
      </c>
      <c r="K202" s="8" t="s">
        <v>10</v>
      </c>
      <c r="L202" s="8" t="s">
        <v>10</v>
      </c>
    </row>
    <row r="203" spans="2:12" x14ac:dyDescent="0.35">
      <c r="B203" s="6" t="s">
        <v>108</v>
      </c>
      <c r="C203" s="6" t="s">
        <v>108</v>
      </c>
      <c r="D203" s="7">
        <v>44952.5</v>
      </c>
      <c r="E203" s="7">
        <v>44952.5625</v>
      </c>
      <c r="F203" s="6">
        <v>15</v>
      </c>
      <c r="G203" s="8" t="s">
        <v>111</v>
      </c>
      <c r="H203" s="8" t="s">
        <v>10</v>
      </c>
      <c r="I203" s="8" t="s">
        <v>10</v>
      </c>
      <c r="J203" s="8" t="s">
        <v>10</v>
      </c>
      <c r="K203" s="8" t="s">
        <v>10</v>
      </c>
      <c r="L203" s="8" t="s">
        <v>10</v>
      </c>
    </row>
    <row r="204" spans="2:12" x14ac:dyDescent="0.35">
      <c r="B204" s="6" t="s">
        <v>108</v>
      </c>
      <c r="C204" s="6" t="s">
        <v>108</v>
      </c>
      <c r="D204" s="7">
        <v>44952.510416666664</v>
      </c>
      <c r="E204" s="7">
        <v>44952.552083333336</v>
      </c>
      <c r="F204" s="6">
        <v>10</v>
      </c>
      <c r="G204" s="8" t="s">
        <v>116</v>
      </c>
      <c r="H204" s="8" t="s">
        <v>10</v>
      </c>
      <c r="I204" s="8" t="s">
        <v>10</v>
      </c>
      <c r="J204" s="8" t="s">
        <v>10</v>
      </c>
      <c r="K204" s="8" t="s">
        <v>10</v>
      </c>
      <c r="L204" s="8" t="s">
        <v>10</v>
      </c>
    </row>
    <row r="205" spans="2:12" x14ac:dyDescent="0.35">
      <c r="B205" s="6" t="s">
        <v>108</v>
      </c>
      <c r="C205" s="6" t="s">
        <v>108</v>
      </c>
      <c r="D205" s="7">
        <v>44952.6875</v>
      </c>
      <c r="E205" s="7">
        <v>44952.708333333336</v>
      </c>
      <c r="F205" s="6">
        <v>5</v>
      </c>
      <c r="G205" s="8" t="s">
        <v>17</v>
      </c>
      <c r="H205" s="8" t="s">
        <v>10</v>
      </c>
      <c r="I205" s="8" t="s">
        <v>10</v>
      </c>
      <c r="J205" s="8" t="s">
        <v>10</v>
      </c>
      <c r="K205" s="8" t="s">
        <v>10</v>
      </c>
      <c r="L205" s="8" t="s">
        <v>10</v>
      </c>
    </row>
    <row r="206" spans="2:12" x14ac:dyDescent="0.35">
      <c r="B206" s="6" t="s">
        <v>108</v>
      </c>
      <c r="C206" s="6" t="s">
        <v>108</v>
      </c>
      <c r="D206" s="7">
        <v>44952.708333333336</v>
      </c>
      <c r="E206" s="7">
        <v>44952.729166666664</v>
      </c>
      <c r="F206" s="6">
        <v>5</v>
      </c>
      <c r="G206" s="8" t="s">
        <v>160</v>
      </c>
      <c r="H206" s="8" t="s">
        <v>10</v>
      </c>
      <c r="I206" s="8" t="s">
        <v>10</v>
      </c>
      <c r="J206" s="8" t="s">
        <v>10</v>
      </c>
      <c r="K206" s="8" t="s">
        <v>10</v>
      </c>
      <c r="L206" s="8" t="s">
        <v>10</v>
      </c>
    </row>
    <row r="207" spans="2:12" x14ac:dyDescent="0.35">
      <c r="B207" s="6" t="s">
        <v>108</v>
      </c>
      <c r="C207" s="6" t="s">
        <v>108</v>
      </c>
      <c r="D207" s="7">
        <v>44953.333333333336</v>
      </c>
      <c r="E207" s="7">
        <v>44953.375</v>
      </c>
      <c r="F207" s="6">
        <v>10</v>
      </c>
      <c r="G207" s="8" t="s">
        <v>36</v>
      </c>
      <c r="H207" s="8" t="s">
        <v>10</v>
      </c>
      <c r="I207" s="8" t="s">
        <v>10</v>
      </c>
      <c r="J207" s="8" t="s">
        <v>10</v>
      </c>
      <c r="K207" s="8" t="s">
        <v>10</v>
      </c>
      <c r="L207" s="8" t="s">
        <v>10</v>
      </c>
    </row>
    <row r="208" spans="2:12" x14ac:dyDescent="0.35">
      <c r="B208" s="6" t="s">
        <v>108</v>
      </c>
      <c r="C208" s="6" t="s">
        <v>108</v>
      </c>
      <c r="D208" s="7">
        <v>44953.375</v>
      </c>
      <c r="E208" s="7">
        <v>44953.458333333336</v>
      </c>
      <c r="F208" s="6">
        <v>20</v>
      </c>
      <c r="G208" s="8" t="s">
        <v>148</v>
      </c>
      <c r="H208" s="8" t="s">
        <v>10</v>
      </c>
      <c r="I208" s="8" t="s">
        <v>10</v>
      </c>
      <c r="J208" s="8" t="s">
        <v>10</v>
      </c>
      <c r="K208" s="8" t="s">
        <v>10</v>
      </c>
      <c r="L208" s="8" t="s">
        <v>10</v>
      </c>
    </row>
    <row r="209" spans="2:12" x14ac:dyDescent="0.35">
      <c r="B209" s="6" t="s">
        <v>108</v>
      </c>
      <c r="C209" s="6" t="s">
        <v>108</v>
      </c>
      <c r="D209" s="7">
        <v>44953.4375</v>
      </c>
      <c r="E209" s="7">
        <v>44953.479166666664</v>
      </c>
      <c r="F209" s="6">
        <v>10</v>
      </c>
      <c r="G209" s="8" t="s">
        <v>161</v>
      </c>
      <c r="H209" s="8" t="s">
        <v>10</v>
      </c>
      <c r="I209" s="8" t="s">
        <v>10</v>
      </c>
      <c r="J209" s="8" t="s">
        <v>10</v>
      </c>
      <c r="K209" s="8" t="s">
        <v>10</v>
      </c>
      <c r="L209" s="8" t="s">
        <v>10</v>
      </c>
    </row>
    <row r="210" spans="2:12" x14ac:dyDescent="0.35">
      <c r="B210" s="6" t="s">
        <v>108</v>
      </c>
      <c r="C210" s="6" t="s">
        <v>108</v>
      </c>
      <c r="D210" s="7">
        <v>44953.458333333336</v>
      </c>
      <c r="E210" s="7">
        <v>44953.5</v>
      </c>
      <c r="F210" s="6">
        <v>10</v>
      </c>
      <c r="G210" s="8" t="s">
        <v>65</v>
      </c>
      <c r="H210" s="8" t="s">
        <v>10</v>
      </c>
      <c r="I210" s="8" t="s">
        <v>10</v>
      </c>
      <c r="J210" s="8" t="s">
        <v>10</v>
      </c>
      <c r="K210" s="8" t="s">
        <v>10</v>
      </c>
      <c r="L210" s="8" t="s">
        <v>10</v>
      </c>
    </row>
    <row r="211" spans="2:12" x14ac:dyDescent="0.35">
      <c r="B211" s="6" t="s">
        <v>108</v>
      </c>
      <c r="C211" s="6" t="s">
        <v>108</v>
      </c>
      <c r="D211" s="7">
        <v>44953.479166666664</v>
      </c>
      <c r="E211" s="7">
        <v>44953.5</v>
      </c>
      <c r="F211" s="6">
        <v>5</v>
      </c>
      <c r="G211" s="8" t="s">
        <v>115</v>
      </c>
      <c r="H211" s="8" t="s">
        <v>10</v>
      </c>
      <c r="I211" s="8" t="s">
        <v>10</v>
      </c>
      <c r="J211" s="8" t="s">
        <v>10</v>
      </c>
      <c r="K211" s="8" t="s">
        <v>10</v>
      </c>
      <c r="L211" s="8" t="s">
        <v>10</v>
      </c>
    </row>
    <row r="212" spans="2:12" x14ac:dyDescent="0.35">
      <c r="B212" s="6" t="s">
        <v>108</v>
      </c>
      <c r="C212" s="6" t="s">
        <v>108</v>
      </c>
      <c r="D212" s="7">
        <v>44953.5</v>
      </c>
      <c r="E212" s="7">
        <v>44953.5625</v>
      </c>
      <c r="F212" s="6">
        <v>15</v>
      </c>
      <c r="G212" s="8" t="s">
        <v>111</v>
      </c>
      <c r="H212" s="8" t="s">
        <v>10</v>
      </c>
      <c r="I212" s="8" t="s">
        <v>10</v>
      </c>
      <c r="J212" s="8" t="s">
        <v>10</v>
      </c>
      <c r="K212" s="8" t="s">
        <v>10</v>
      </c>
      <c r="L212" s="8" t="s">
        <v>10</v>
      </c>
    </row>
    <row r="213" spans="2:12" x14ac:dyDescent="0.35">
      <c r="B213" s="6" t="s">
        <v>108</v>
      </c>
      <c r="C213" s="6" t="s">
        <v>108</v>
      </c>
      <c r="D213" s="7">
        <v>44953.5625</v>
      </c>
      <c r="E213" s="7">
        <v>44953.604166666664</v>
      </c>
      <c r="F213" s="6">
        <v>10</v>
      </c>
      <c r="G213" s="8" t="s">
        <v>162</v>
      </c>
      <c r="H213" s="8" t="s">
        <v>10</v>
      </c>
      <c r="I213" s="8" t="s">
        <v>10</v>
      </c>
      <c r="J213" s="8" t="s">
        <v>10</v>
      </c>
      <c r="K213" s="8" t="s">
        <v>10</v>
      </c>
      <c r="L213" s="8" t="s">
        <v>10</v>
      </c>
    </row>
    <row r="214" spans="2:12" x14ac:dyDescent="0.35">
      <c r="B214" s="6" t="s">
        <v>108</v>
      </c>
      <c r="C214" s="6" t="s">
        <v>108</v>
      </c>
      <c r="D214" s="7">
        <v>44953.604166666664</v>
      </c>
      <c r="E214" s="7">
        <v>44953.625</v>
      </c>
      <c r="F214" s="6">
        <v>5</v>
      </c>
      <c r="G214" s="8" t="s">
        <v>163</v>
      </c>
      <c r="H214" s="8" t="s">
        <v>10</v>
      </c>
      <c r="I214" s="8" t="s">
        <v>10</v>
      </c>
      <c r="J214" s="8" t="s">
        <v>10</v>
      </c>
      <c r="K214" s="8" t="s">
        <v>10</v>
      </c>
      <c r="L214" s="8" t="s">
        <v>10</v>
      </c>
    </row>
    <row r="215" spans="2:12" x14ac:dyDescent="0.35">
      <c r="B215" s="6" t="s">
        <v>108</v>
      </c>
      <c r="C215" s="6" t="s">
        <v>108</v>
      </c>
      <c r="D215" s="7">
        <v>44953.625</v>
      </c>
      <c r="E215" s="7">
        <v>44953.645833333336</v>
      </c>
      <c r="F215" s="6">
        <v>5</v>
      </c>
      <c r="G215" s="8" t="s">
        <v>66</v>
      </c>
      <c r="H215" s="8" t="s">
        <v>10</v>
      </c>
      <c r="I215" s="8" t="s">
        <v>10</v>
      </c>
      <c r="J215" s="8" t="s">
        <v>10</v>
      </c>
      <c r="K215" s="8" t="s">
        <v>10</v>
      </c>
      <c r="L215" s="8" t="s">
        <v>10</v>
      </c>
    </row>
    <row r="216" spans="2:12" x14ac:dyDescent="0.35">
      <c r="B216" s="6" t="s">
        <v>108</v>
      </c>
      <c r="C216" s="6" t="s">
        <v>108</v>
      </c>
      <c r="D216" s="7">
        <v>44953.6875</v>
      </c>
      <c r="E216" s="7">
        <v>44953.708333333336</v>
      </c>
      <c r="F216" s="6">
        <v>5</v>
      </c>
      <c r="G216" s="8" t="s">
        <v>164</v>
      </c>
      <c r="H216" s="8" t="s">
        <v>10</v>
      </c>
      <c r="I216" s="8" t="s">
        <v>10</v>
      </c>
      <c r="J216" s="8" t="s">
        <v>10</v>
      </c>
      <c r="K216" s="8" t="s">
        <v>10</v>
      </c>
      <c r="L216" s="8" t="s">
        <v>10</v>
      </c>
    </row>
    <row r="217" spans="2:12" x14ac:dyDescent="0.35">
      <c r="B217" s="6" t="s">
        <v>108</v>
      </c>
      <c r="C217" s="6" t="s">
        <v>108</v>
      </c>
      <c r="D217" s="7">
        <v>44954.479166666664</v>
      </c>
      <c r="E217" s="7">
        <v>44954.5</v>
      </c>
      <c r="F217" s="6">
        <v>5</v>
      </c>
      <c r="G217" s="8" t="s">
        <v>115</v>
      </c>
      <c r="H217" s="8" t="s">
        <v>10</v>
      </c>
      <c r="I217" s="8" t="s">
        <v>10</v>
      </c>
      <c r="J217" s="8" t="s">
        <v>10</v>
      </c>
      <c r="K217" s="8" t="s">
        <v>10</v>
      </c>
      <c r="L217" s="8" t="s">
        <v>10</v>
      </c>
    </row>
    <row r="218" spans="2:12" x14ac:dyDescent="0.35">
      <c r="B218" s="6" t="s">
        <v>108</v>
      </c>
      <c r="C218" s="6" t="s">
        <v>108</v>
      </c>
      <c r="D218" s="7">
        <v>44955.479166666664</v>
      </c>
      <c r="E218" s="7">
        <v>44955.5</v>
      </c>
      <c r="F218" s="6">
        <v>5</v>
      </c>
      <c r="G218" s="8" t="s">
        <v>115</v>
      </c>
      <c r="H218" s="8" t="s">
        <v>10</v>
      </c>
      <c r="I218" s="8" t="s">
        <v>10</v>
      </c>
      <c r="J218" s="8" t="s">
        <v>10</v>
      </c>
      <c r="K218" s="8" t="s">
        <v>10</v>
      </c>
      <c r="L218" s="8" t="s">
        <v>10</v>
      </c>
    </row>
    <row r="219" spans="2:12" x14ac:dyDescent="0.35">
      <c r="B219" s="6" t="s">
        <v>108</v>
      </c>
      <c r="C219" s="6" t="s">
        <v>108</v>
      </c>
      <c r="D219" s="7">
        <v>44956.354166666664</v>
      </c>
      <c r="E219" s="7">
        <v>44956.364583333336</v>
      </c>
      <c r="F219" s="6">
        <v>25</v>
      </c>
      <c r="G219" s="8" t="s">
        <v>165</v>
      </c>
      <c r="H219" s="8" t="s">
        <v>10</v>
      </c>
      <c r="I219" s="8" t="s">
        <v>10</v>
      </c>
      <c r="J219" s="8" t="s">
        <v>10</v>
      </c>
      <c r="K219" s="8" t="s">
        <v>10</v>
      </c>
      <c r="L219" s="8" t="s">
        <v>10</v>
      </c>
    </row>
    <row r="220" spans="2:12" x14ac:dyDescent="0.35">
      <c r="B220" s="6" t="s">
        <v>108</v>
      </c>
      <c r="C220" s="6" t="s">
        <v>108</v>
      </c>
      <c r="D220" s="7">
        <v>44956.364583333336</v>
      </c>
      <c r="E220" s="7">
        <v>44956.385416666664</v>
      </c>
      <c r="F220" s="6">
        <v>5</v>
      </c>
      <c r="G220" s="8" t="s">
        <v>9</v>
      </c>
      <c r="H220" s="8" t="s">
        <v>10</v>
      </c>
      <c r="I220" s="8" t="s">
        <v>10</v>
      </c>
      <c r="J220" s="8" t="s">
        <v>10</v>
      </c>
      <c r="K220" s="8" t="s">
        <v>10</v>
      </c>
      <c r="L220" s="8" t="s">
        <v>10</v>
      </c>
    </row>
    <row r="221" spans="2:12" x14ac:dyDescent="0.35">
      <c r="B221" s="6" t="s">
        <v>108</v>
      </c>
      <c r="C221" s="6" t="s">
        <v>108</v>
      </c>
      <c r="D221" s="7">
        <v>44956.385416666664</v>
      </c>
      <c r="E221" s="7">
        <v>44956.416666666664</v>
      </c>
      <c r="F221" s="6">
        <v>75</v>
      </c>
      <c r="G221" s="8" t="s">
        <v>166</v>
      </c>
      <c r="H221" s="8" t="s">
        <v>10</v>
      </c>
      <c r="I221" s="8" t="s">
        <v>10</v>
      </c>
      <c r="J221" s="8" t="s">
        <v>10</v>
      </c>
      <c r="K221" s="8" t="s">
        <v>10</v>
      </c>
      <c r="L221" s="8" t="s">
        <v>10</v>
      </c>
    </row>
    <row r="222" spans="2:12" x14ac:dyDescent="0.35">
      <c r="B222" s="6" t="s">
        <v>108</v>
      </c>
      <c r="C222" s="6" t="s">
        <v>108</v>
      </c>
      <c r="D222" s="7">
        <v>44956.416666666664</v>
      </c>
      <c r="E222" s="7">
        <v>44956.458333333336</v>
      </c>
      <c r="F222" s="6">
        <v>10</v>
      </c>
      <c r="G222" s="8" t="s">
        <v>67</v>
      </c>
      <c r="H222" s="8" t="s">
        <v>10</v>
      </c>
      <c r="I222" s="8" t="s">
        <v>10</v>
      </c>
      <c r="J222" s="8" t="s">
        <v>10</v>
      </c>
      <c r="K222" s="8" t="s">
        <v>10</v>
      </c>
      <c r="L222" s="8" t="s">
        <v>10</v>
      </c>
    </row>
    <row r="223" spans="2:12" x14ac:dyDescent="0.35">
      <c r="B223" s="6" t="s">
        <v>108</v>
      </c>
      <c r="C223" s="6" t="s">
        <v>108</v>
      </c>
      <c r="D223" s="7">
        <v>44956.479166666664</v>
      </c>
      <c r="E223" s="7">
        <v>44956.5</v>
      </c>
      <c r="F223" s="6">
        <v>5</v>
      </c>
      <c r="G223" s="8" t="s">
        <v>115</v>
      </c>
      <c r="H223" s="8" t="s">
        <v>10</v>
      </c>
      <c r="I223" s="8" t="s">
        <v>10</v>
      </c>
      <c r="J223" s="8" t="s">
        <v>10</v>
      </c>
      <c r="K223" s="8" t="s">
        <v>10</v>
      </c>
      <c r="L223" s="8" t="s">
        <v>10</v>
      </c>
    </row>
    <row r="224" spans="2:12" x14ac:dyDescent="0.35">
      <c r="B224" s="6" t="s">
        <v>108</v>
      </c>
      <c r="C224" s="6" t="s">
        <v>108</v>
      </c>
      <c r="D224" s="7">
        <v>44956.489583333336</v>
      </c>
      <c r="E224" s="7">
        <v>44956.5</v>
      </c>
      <c r="F224" s="6">
        <v>25</v>
      </c>
      <c r="G224" s="8" t="s">
        <v>110</v>
      </c>
      <c r="H224" s="8" t="s">
        <v>10</v>
      </c>
      <c r="I224" s="8" t="s">
        <v>10</v>
      </c>
      <c r="J224" s="8" t="s">
        <v>10</v>
      </c>
      <c r="K224" s="8" t="s">
        <v>10</v>
      </c>
      <c r="L224" s="8" t="s">
        <v>10</v>
      </c>
    </row>
    <row r="225" spans="2:12" x14ac:dyDescent="0.35">
      <c r="B225" s="6" t="s">
        <v>108</v>
      </c>
      <c r="C225" s="6" t="s">
        <v>108</v>
      </c>
      <c r="D225" s="7">
        <v>44956.5</v>
      </c>
      <c r="E225" s="7">
        <v>44956.5625</v>
      </c>
      <c r="F225" s="6">
        <v>15</v>
      </c>
      <c r="G225" s="8" t="s">
        <v>111</v>
      </c>
      <c r="H225" s="8" t="s">
        <v>10</v>
      </c>
      <c r="I225" s="8" t="s">
        <v>10</v>
      </c>
      <c r="J225" s="8" t="s">
        <v>10</v>
      </c>
      <c r="K225" s="8" t="s">
        <v>10</v>
      </c>
      <c r="L225" s="8" t="s">
        <v>10</v>
      </c>
    </row>
    <row r="226" spans="2:12" x14ac:dyDescent="0.35">
      <c r="B226" s="6" t="s">
        <v>108</v>
      </c>
      <c r="C226" s="6" t="s">
        <v>108</v>
      </c>
      <c r="D226" s="7">
        <v>44956.5625</v>
      </c>
      <c r="E226" s="7">
        <v>44956.583333333336</v>
      </c>
      <c r="F226" s="6">
        <v>5</v>
      </c>
      <c r="G226" s="8" t="s">
        <v>68</v>
      </c>
      <c r="H226" s="8" t="s">
        <v>10</v>
      </c>
      <c r="I226" s="8" t="s">
        <v>10</v>
      </c>
      <c r="J226" s="8" t="s">
        <v>10</v>
      </c>
      <c r="K226" s="8" t="s">
        <v>10</v>
      </c>
      <c r="L226" s="8" t="s">
        <v>10</v>
      </c>
    </row>
    <row r="227" spans="2:12" x14ac:dyDescent="0.35">
      <c r="B227" s="6" t="s">
        <v>108</v>
      </c>
      <c r="C227" s="6" t="s">
        <v>108</v>
      </c>
      <c r="D227" s="7">
        <v>44956.583333333336</v>
      </c>
      <c r="E227" s="7">
        <v>44956.625</v>
      </c>
      <c r="F227" s="6">
        <v>10</v>
      </c>
      <c r="G227" s="8" t="s">
        <v>69</v>
      </c>
      <c r="H227" s="8" t="s">
        <v>10</v>
      </c>
      <c r="I227" s="8" t="s">
        <v>10</v>
      </c>
      <c r="J227" s="8" t="s">
        <v>10</v>
      </c>
      <c r="K227" s="8" t="s">
        <v>10</v>
      </c>
      <c r="L227" s="8" t="s">
        <v>10</v>
      </c>
    </row>
    <row r="228" spans="2:12" x14ac:dyDescent="0.35">
      <c r="B228" s="6" t="s">
        <v>108</v>
      </c>
      <c r="C228" s="6" t="s">
        <v>108</v>
      </c>
      <c r="D228" s="7">
        <v>44956.625</v>
      </c>
      <c r="E228" s="7">
        <v>44956.666666666664</v>
      </c>
      <c r="F228" s="6">
        <v>10</v>
      </c>
      <c r="G228" s="8" t="s">
        <v>112</v>
      </c>
      <c r="H228" s="8" t="s">
        <v>10</v>
      </c>
      <c r="I228" s="8" t="s">
        <v>10</v>
      </c>
      <c r="J228" s="8" t="s">
        <v>10</v>
      </c>
      <c r="K228" s="8" t="s">
        <v>10</v>
      </c>
      <c r="L228" s="8" t="s">
        <v>10</v>
      </c>
    </row>
    <row r="229" spans="2:12" x14ac:dyDescent="0.35">
      <c r="B229" s="6" t="s">
        <v>108</v>
      </c>
      <c r="C229" s="6" t="s">
        <v>108</v>
      </c>
      <c r="D229" s="7">
        <v>44957.364583333336</v>
      </c>
      <c r="E229" s="7">
        <v>44957.385416666664</v>
      </c>
      <c r="F229" s="6">
        <v>5</v>
      </c>
      <c r="G229" s="8" t="s">
        <v>9</v>
      </c>
      <c r="H229" s="8" t="s">
        <v>10</v>
      </c>
      <c r="I229" s="8" t="s">
        <v>10</v>
      </c>
      <c r="J229" s="8" t="s">
        <v>10</v>
      </c>
      <c r="K229" s="8" t="s">
        <v>10</v>
      </c>
      <c r="L229" s="8" t="s">
        <v>10</v>
      </c>
    </row>
    <row r="230" spans="2:12" x14ac:dyDescent="0.35">
      <c r="B230" s="6" t="s">
        <v>108</v>
      </c>
      <c r="C230" s="6" t="s">
        <v>108</v>
      </c>
      <c r="D230" s="7">
        <v>44957.385416666664</v>
      </c>
      <c r="E230" s="7">
        <v>44957.416666666664</v>
      </c>
      <c r="F230" s="6">
        <v>75</v>
      </c>
      <c r="G230" s="8" t="s">
        <v>70</v>
      </c>
      <c r="H230" s="8" t="s">
        <v>10</v>
      </c>
      <c r="I230" s="8" t="s">
        <v>10</v>
      </c>
      <c r="J230" s="8" t="s">
        <v>10</v>
      </c>
      <c r="K230" s="8" t="s">
        <v>10</v>
      </c>
      <c r="L230" s="8" t="s">
        <v>10</v>
      </c>
    </row>
    <row r="231" spans="2:12" x14ac:dyDescent="0.35">
      <c r="B231" s="6" t="s">
        <v>108</v>
      </c>
      <c r="C231" s="6" t="s">
        <v>108</v>
      </c>
      <c r="D231" s="7">
        <v>44957.4375</v>
      </c>
      <c r="E231" s="7">
        <v>44957.479166666664</v>
      </c>
      <c r="F231" s="6">
        <v>10</v>
      </c>
      <c r="G231" s="8" t="s">
        <v>167</v>
      </c>
      <c r="H231" s="8" t="s">
        <v>10</v>
      </c>
      <c r="I231" s="8" t="s">
        <v>10</v>
      </c>
      <c r="J231" s="8" t="s">
        <v>10</v>
      </c>
      <c r="K231" s="8" t="s">
        <v>10</v>
      </c>
      <c r="L231" s="8" t="s">
        <v>10</v>
      </c>
    </row>
    <row r="232" spans="2:12" x14ac:dyDescent="0.35">
      <c r="B232" s="6" t="s">
        <v>108</v>
      </c>
      <c r="C232" s="6" t="s">
        <v>108</v>
      </c>
      <c r="D232" s="7">
        <v>44957.458333333336</v>
      </c>
      <c r="E232" s="7">
        <v>44957.5</v>
      </c>
      <c r="F232" s="6">
        <v>10</v>
      </c>
      <c r="G232" s="8" t="s">
        <v>71</v>
      </c>
      <c r="H232" s="8" t="s">
        <v>10</v>
      </c>
      <c r="I232" s="8" t="s">
        <v>10</v>
      </c>
      <c r="J232" s="8" t="s">
        <v>10</v>
      </c>
      <c r="K232" s="8" t="s">
        <v>10</v>
      </c>
      <c r="L232" s="8" t="s">
        <v>10</v>
      </c>
    </row>
    <row r="233" spans="2:12" x14ac:dyDescent="0.35">
      <c r="B233" s="6" t="s">
        <v>108</v>
      </c>
      <c r="C233" s="6" t="s">
        <v>108</v>
      </c>
      <c r="D233" s="7">
        <v>44957.479166666664</v>
      </c>
      <c r="E233" s="7">
        <v>44957.5</v>
      </c>
      <c r="F233" s="6">
        <v>5</v>
      </c>
      <c r="G233" s="8" t="s">
        <v>115</v>
      </c>
      <c r="H233" s="8" t="s">
        <v>10</v>
      </c>
      <c r="I233" s="8" t="s">
        <v>10</v>
      </c>
      <c r="J233" s="8" t="s">
        <v>10</v>
      </c>
      <c r="K233" s="8" t="s">
        <v>10</v>
      </c>
      <c r="L233" s="8" t="s">
        <v>10</v>
      </c>
    </row>
    <row r="234" spans="2:12" x14ac:dyDescent="0.35">
      <c r="B234" s="6" t="s">
        <v>108</v>
      </c>
      <c r="C234" s="6" t="s">
        <v>108</v>
      </c>
      <c r="D234" s="7">
        <v>44957.5</v>
      </c>
      <c r="E234" s="7">
        <v>44957.5625</v>
      </c>
      <c r="F234" s="6">
        <v>15</v>
      </c>
      <c r="G234" s="8" t="s">
        <v>111</v>
      </c>
      <c r="H234" s="8" t="s">
        <v>10</v>
      </c>
      <c r="I234" s="8" t="s">
        <v>10</v>
      </c>
      <c r="J234" s="8" t="s">
        <v>10</v>
      </c>
      <c r="K234" s="8" t="s">
        <v>10</v>
      </c>
      <c r="L234" s="8" t="s">
        <v>10</v>
      </c>
    </row>
    <row r="235" spans="2:12" x14ac:dyDescent="0.35">
      <c r="B235" s="6" t="s">
        <v>108</v>
      </c>
      <c r="C235" s="6" t="s">
        <v>108</v>
      </c>
      <c r="D235" s="7">
        <v>44957.510416666664</v>
      </c>
      <c r="E235" s="7">
        <v>44957.552083333336</v>
      </c>
      <c r="F235" s="6">
        <v>10</v>
      </c>
      <c r="G235" s="8" t="s">
        <v>116</v>
      </c>
      <c r="H235" s="8" t="s">
        <v>10</v>
      </c>
      <c r="I235" s="8" t="s">
        <v>10</v>
      </c>
      <c r="J235" s="8" t="s">
        <v>10</v>
      </c>
      <c r="K235" s="8" t="s">
        <v>10</v>
      </c>
      <c r="L235" s="8" t="s">
        <v>10</v>
      </c>
    </row>
    <row r="236" spans="2:12" x14ac:dyDescent="0.35">
      <c r="D236" s="7">
        <v>44957.625</v>
      </c>
      <c r="E236" s="7">
        <v>44957.666666666664</v>
      </c>
      <c r="F236" s="6">
        <v>10</v>
      </c>
      <c r="G236" s="8" t="s">
        <v>72</v>
      </c>
      <c r="H236" s="8" t="s">
        <v>10</v>
      </c>
      <c r="I236" s="8" t="s">
        <v>10</v>
      </c>
      <c r="J236" s="8" t="s">
        <v>10</v>
      </c>
      <c r="K236" s="8" t="s">
        <v>10</v>
      </c>
      <c r="L236" s="8" t="s">
        <v>10</v>
      </c>
    </row>
    <row r="237" spans="2:12" x14ac:dyDescent="0.35">
      <c r="D237" s="7">
        <v>44957.645833333336</v>
      </c>
      <c r="E237" s="7">
        <v>44957.666666666664</v>
      </c>
      <c r="F237" s="6">
        <v>5</v>
      </c>
      <c r="G237" s="8" t="s">
        <v>12</v>
      </c>
      <c r="H237" s="8" t="s">
        <v>10</v>
      </c>
      <c r="I237" s="8" t="s">
        <v>10</v>
      </c>
      <c r="J237" s="8" t="s">
        <v>10</v>
      </c>
      <c r="K237" s="8" t="s">
        <v>10</v>
      </c>
      <c r="L237" s="8" t="s">
        <v>10</v>
      </c>
    </row>
    <row r="238" spans="2:12" x14ac:dyDescent="0.35">
      <c r="D238" s="7">
        <v>44957.666666666664</v>
      </c>
      <c r="E238" s="7">
        <v>44957.708333333336</v>
      </c>
      <c r="F238" s="6">
        <v>10</v>
      </c>
      <c r="G238" s="8" t="s">
        <v>73</v>
      </c>
      <c r="H238" s="8" t="s">
        <v>10</v>
      </c>
      <c r="I238" s="8" t="s">
        <v>10</v>
      </c>
      <c r="J238" s="8" t="s">
        <v>10</v>
      </c>
      <c r="K238" s="8" t="s">
        <v>10</v>
      </c>
      <c r="L238" s="8" t="s">
        <v>10</v>
      </c>
    </row>
    <row r="239" spans="2:12" x14ac:dyDescent="0.35">
      <c r="D239" s="7">
        <v>44957.666666666664</v>
      </c>
      <c r="E239" s="7">
        <v>44957.708333333336</v>
      </c>
      <c r="F239" s="6">
        <v>10</v>
      </c>
      <c r="G239" s="8" t="s">
        <v>74</v>
      </c>
      <c r="H239" s="8" t="s">
        <v>10</v>
      </c>
      <c r="I239" s="8" t="s">
        <v>10</v>
      </c>
      <c r="J239" s="8" t="s">
        <v>10</v>
      </c>
      <c r="K239" s="8" t="s">
        <v>10</v>
      </c>
      <c r="L239" s="8" t="s">
        <v>10</v>
      </c>
    </row>
    <row r="240" spans="2:12" x14ac:dyDescent="0.35">
      <c r="D240" s="7">
        <v>44957.708333333336</v>
      </c>
      <c r="E240" s="7">
        <v>44957.729166666664</v>
      </c>
      <c r="F240" s="6">
        <v>5</v>
      </c>
      <c r="G240" s="8" t="s">
        <v>75</v>
      </c>
      <c r="H240" s="8" t="s">
        <v>10</v>
      </c>
      <c r="I240" s="8" t="s">
        <v>10</v>
      </c>
      <c r="J240" s="8" t="s">
        <v>10</v>
      </c>
      <c r="K240" s="8" t="s">
        <v>10</v>
      </c>
      <c r="L240" s="8" t="s">
        <v>10</v>
      </c>
    </row>
  </sheetData>
  <autoFilter ref="A1:C1" xr:uid="{8E3379DE-BAE7-4AF2-A092-84938446A7AE}"/>
  <dataValidations count="1">
    <dataValidation type="list" allowBlank="1" showInputMessage="1" showErrorMessage="1" sqref="C5:C235 B2:B240" xr:uid="{FEF717E5-91EB-47C8-852D-158B96D5C840}">
      <formula1>categoria1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36C2D-8E92-4F0E-95F1-92A2E89FEB18}">
  <dimension ref="A3:B11"/>
  <sheetViews>
    <sheetView workbookViewId="0">
      <selection activeCell="E9" sqref="E9"/>
    </sheetView>
  </sheetViews>
  <sheetFormatPr defaultRowHeight="14.5" x14ac:dyDescent="0.35"/>
  <cols>
    <col min="1" max="1" width="17" bestFit="1" customWidth="1"/>
    <col min="2" max="2" width="17.453125" bestFit="1" customWidth="1"/>
  </cols>
  <sheetData>
    <row r="3" spans="1:2" x14ac:dyDescent="0.35">
      <c r="A3" s="2" t="s">
        <v>101</v>
      </c>
      <c r="B3" t="s">
        <v>182</v>
      </c>
    </row>
    <row r="4" spans="1:2" x14ac:dyDescent="0.35">
      <c r="A4" s="3" t="s">
        <v>175</v>
      </c>
      <c r="B4" s="1">
        <v>40.999999999708962</v>
      </c>
    </row>
    <row r="5" spans="1:2" x14ac:dyDescent="0.35">
      <c r="A5" s="3" t="s">
        <v>80</v>
      </c>
      <c r="B5" s="1">
        <v>35.749999999883585</v>
      </c>
    </row>
    <row r="6" spans="1:2" x14ac:dyDescent="0.35">
      <c r="A6" s="3" t="s">
        <v>176</v>
      </c>
      <c r="B6" s="1">
        <v>2.5000000001164153</v>
      </c>
    </row>
    <row r="7" spans="1:2" x14ac:dyDescent="0.35">
      <c r="A7" s="3" t="s">
        <v>85</v>
      </c>
      <c r="B7" s="1">
        <v>17.749999999359716</v>
      </c>
    </row>
    <row r="8" spans="1:2" x14ac:dyDescent="0.35">
      <c r="A8" s="3" t="s">
        <v>87</v>
      </c>
      <c r="B8" s="1">
        <v>2.999999999825377</v>
      </c>
    </row>
    <row r="9" spans="1:2" x14ac:dyDescent="0.35">
      <c r="A9" s="3" t="s">
        <v>77</v>
      </c>
      <c r="B9" s="1">
        <v>41.74999999825377</v>
      </c>
    </row>
    <row r="10" spans="1:2" x14ac:dyDescent="0.35">
      <c r="A10" s="3" t="s">
        <v>102</v>
      </c>
      <c r="B10" s="1">
        <v>0.24999999994179234</v>
      </c>
    </row>
    <row r="11" spans="1:2" x14ac:dyDescent="0.35">
      <c r="A11" s="3" t="s">
        <v>103</v>
      </c>
      <c r="B11" s="1">
        <v>141.99999999708962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A641-CB90-4DCA-ADEC-5369BFBB7540}">
  <dimension ref="A2:I15"/>
  <sheetViews>
    <sheetView workbookViewId="0">
      <selection activeCell="E3" sqref="E3"/>
    </sheetView>
  </sheetViews>
  <sheetFormatPr defaultRowHeight="14.5" x14ac:dyDescent="0.35"/>
  <sheetData>
    <row r="2" spans="1:9" x14ac:dyDescent="0.35">
      <c r="A2" t="s">
        <v>106</v>
      </c>
      <c r="B2" t="s">
        <v>183</v>
      </c>
      <c r="D2" t="s">
        <v>106</v>
      </c>
      <c r="E2" t="s">
        <v>184</v>
      </c>
      <c r="F2" t="s">
        <v>183</v>
      </c>
      <c r="H2" t="s">
        <v>184</v>
      </c>
      <c r="I2" t="s">
        <v>183</v>
      </c>
    </row>
    <row r="3" spans="1:9" x14ac:dyDescent="0.35">
      <c r="A3" t="s">
        <v>107</v>
      </c>
      <c r="B3">
        <v>35.499999999941792</v>
      </c>
      <c r="D3" t="s">
        <v>107</v>
      </c>
      <c r="E3" t="s">
        <v>175</v>
      </c>
      <c r="F3">
        <v>23.999999999825377</v>
      </c>
      <c r="H3" t="s">
        <v>175</v>
      </c>
      <c r="I3">
        <v>40.999999999708962</v>
      </c>
    </row>
    <row r="4" spans="1:9" x14ac:dyDescent="0.35">
      <c r="A4" t="s">
        <v>169</v>
      </c>
      <c r="B4">
        <v>84.749999996623956</v>
      </c>
      <c r="D4" t="s">
        <v>107</v>
      </c>
      <c r="E4" t="s">
        <v>80</v>
      </c>
      <c r="F4">
        <v>11.500000000116415</v>
      </c>
      <c r="H4" t="s">
        <v>80</v>
      </c>
      <c r="I4">
        <v>35.749999999883585</v>
      </c>
    </row>
    <row r="5" spans="1:9" x14ac:dyDescent="0.35">
      <c r="A5" t="s">
        <v>170</v>
      </c>
      <c r="B5">
        <v>21.750000000523869</v>
      </c>
      <c r="D5" t="s">
        <v>169</v>
      </c>
      <c r="E5" t="s">
        <v>175</v>
      </c>
      <c r="F5">
        <v>2.4999999997671694</v>
      </c>
      <c r="H5" t="s">
        <v>176</v>
      </c>
      <c r="I5">
        <v>2.5000000001164153</v>
      </c>
    </row>
    <row r="6" spans="1:9" x14ac:dyDescent="0.35">
      <c r="D6" t="s">
        <v>169</v>
      </c>
      <c r="E6" t="s">
        <v>80</v>
      </c>
      <c r="F6">
        <v>19.749999999592546</v>
      </c>
      <c r="H6" t="s">
        <v>85</v>
      </c>
      <c r="I6">
        <v>17.749999999359716</v>
      </c>
    </row>
    <row r="7" spans="1:9" x14ac:dyDescent="0.35">
      <c r="D7" t="s">
        <v>169</v>
      </c>
      <c r="E7" t="s">
        <v>176</v>
      </c>
      <c r="F7">
        <v>0.49999999988358468</v>
      </c>
      <c r="H7" t="s">
        <v>87</v>
      </c>
      <c r="I7">
        <v>2.999999999825377</v>
      </c>
    </row>
    <row r="8" spans="1:9" x14ac:dyDescent="0.35">
      <c r="D8" t="s">
        <v>169</v>
      </c>
      <c r="E8" t="s">
        <v>85</v>
      </c>
      <c r="F8">
        <v>17.749999999359716</v>
      </c>
      <c r="H8" t="s">
        <v>77</v>
      </c>
      <c r="I8">
        <v>41.74999999825377</v>
      </c>
    </row>
    <row r="9" spans="1:9" x14ac:dyDescent="0.35">
      <c r="D9" t="s">
        <v>169</v>
      </c>
      <c r="E9" t="s">
        <v>87</v>
      </c>
      <c r="F9">
        <v>2.999999999825377</v>
      </c>
      <c r="H9" t="s">
        <v>102</v>
      </c>
      <c r="I9">
        <v>0.24999999994179234</v>
      </c>
    </row>
    <row r="10" spans="1:9" x14ac:dyDescent="0.35">
      <c r="D10" t="s">
        <v>169</v>
      </c>
      <c r="E10" t="s">
        <v>77</v>
      </c>
      <c r="F10">
        <v>40.99999999825377</v>
      </c>
    </row>
    <row r="11" spans="1:9" x14ac:dyDescent="0.35">
      <c r="D11" t="s">
        <v>169</v>
      </c>
      <c r="E11" t="s">
        <v>102</v>
      </c>
      <c r="F11">
        <v>0.24999999994179234</v>
      </c>
    </row>
    <row r="12" spans="1:9" x14ac:dyDescent="0.35">
      <c r="D12" t="s">
        <v>170</v>
      </c>
      <c r="E12" t="s">
        <v>175</v>
      </c>
      <c r="F12">
        <v>14.500000000116415</v>
      </c>
    </row>
    <row r="13" spans="1:9" x14ac:dyDescent="0.35">
      <c r="D13" t="s">
        <v>170</v>
      </c>
      <c r="E13" t="s">
        <v>80</v>
      </c>
      <c r="F13">
        <v>4.500000000174623</v>
      </c>
    </row>
    <row r="14" spans="1:9" x14ac:dyDescent="0.35">
      <c r="D14" t="s">
        <v>170</v>
      </c>
      <c r="E14" t="s">
        <v>176</v>
      </c>
      <c r="F14">
        <v>2.0000000002328306</v>
      </c>
    </row>
    <row r="15" spans="1:9" x14ac:dyDescent="0.35">
      <c r="D15" t="s">
        <v>170</v>
      </c>
      <c r="E15" t="s">
        <v>77</v>
      </c>
      <c r="F15">
        <v>0.75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1FE81-C98B-4CC8-8F86-73F6B811F8AB}">
  <sheetPr filterMode="1"/>
  <dimension ref="A1:O241"/>
  <sheetViews>
    <sheetView tabSelected="1" workbookViewId="0">
      <selection activeCell="G17" sqref="G17:G123"/>
    </sheetView>
  </sheetViews>
  <sheetFormatPr defaultRowHeight="14.5" x14ac:dyDescent="0.35"/>
  <cols>
    <col min="3" max="4" width="19.54296875" customWidth="1"/>
    <col min="5" max="5" width="22.54296875" bestFit="1" customWidth="1"/>
    <col min="6" max="6" width="22.36328125" bestFit="1" customWidth="1"/>
  </cols>
  <sheetData>
    <row r="1" spans="1:15" x14ac:dyDescent="0.35">
      <c r="A1" t="s">
        <v>106</v>
      </c>
      <c r="B1" t="s">
        <v>104</v>
      </c>
      <c r="C1" t="s">
        <v>105</v>
      </c>
      <c r="D1" t="s">
        <v>185</v>
      </c>
      <c r="E1" t="s">
        <v>0</v>
      </c>
      <c r="F1" t="s">
        <v>1</v>
      </c>
      <c r="G1" t="s">
        <v>2</v>
      </c>
      <c r="H1" t="s">
        <v>3</v>
      </c>
    </row>
    <row r="2" spans="1:15" hidden="1" x14ac:dyDescent="0.35">
      <c r="A2" t="s">
        <v>169</v>
      </c>
      <c r="B2" s="4" t="s">
        <v>77</v>
      </c>
      <c r="C2" s="3" t="s">
        <v>76</v>
      </c>
      <c r="D2" s="3" t="s">
        <v>186</v>
      </c>
      <c r="E2" s="11">
        <v>44928.364583333336</v>
      </c>
      <c r="F2" s="11">
        <v>44928.385416666664</v>
      </c>
      <c r="G2" s="13">
        <f>(F2-E2)*24</f>
        <v>0.49999999988358468</v>
      </c>
      <c r="H2" t="s">
        <v>9</v>
      </c>
      <c r="N2" s="12">
        <f>G2</f>
        <v>0.49999999988358468</v>
      </c>
      <c r="O2" s="12">
        <f>N2*24</f>
        <v>11.999999997206032</v>
      </c>
    </row>
    <row r="3" spans="1:15" hidden="1" x14ac:dyDescent="0.35">
      <c r="A3" t="s">
        <v>169</v>
      </c>
      <c r="B3" s="4" t="s">
        <v>77</v>
      </c>
      <c r="C3" s="3" t="s">
        <v>98</v>
      </c>
      <c r="D3" s="3" t="s">
        <v>186</v>
      </c>
      <c r="E3" s="11">
        <v>44928.385416666664</v>
      </c>
      <c r="F3" s="11">
        <v>44928.427083333336</v>
      </c>
      <c r="G3" s="13">
        <f t="shared" ref="G3:G4" si="0">(F3-E3)*24</f>
        <v>1.0000000001164153</v>
      </c>
      <c r="H3" t="s">
        <v>109</v>
      </c>
      <c r="N3" s="12">
        <f t="shared" ref="N3:N4" si="1">G3</f>
        <v>1.0000000001164153</v>
      </c>
      <c r="O3" s="12">
        <f t="shared" ref="O3:O4" si="2">N3*24</f>
        <v>24.000000002793968</v>
      </c>
    </row>
    <row r="4" spans="1:15" hidden="1" x14ac:dyDescent="0.35">
      <c r="A4" t="s">
        <v>169</v>
      </c>
      <c r="B4" s="4" t="s">
        <v>85</v>
      </c>
      <c r="C4" s="3" t="s">
        <v>89</v>
      </c>
      <c r="D4" s="3" t="s">
        <v>186</v>
      </c>
      <c r="E4" s="11">
        <v>44928.489583333336</v>
      </c>
      <c r="F4" s="11">
        <v>44928.5</v>
      </c>
      <c r="G4" s="13">
        <f t="shared" si="0"/>
        <v>0.24999999994179234</v>
      </c>
      <c r="H4" t="s">
        <v>110</v>
      </c>
      <c r="N4" s="12">
        <f t="shared" si="1"/>
        <v>0.24999999994179234</v>
      </c>
      <c r="O4" s="12">
        <f t="shared" si="2"/>
        <v>5.9999999986030161</v>
      </c>
    </row>
    <row r="5" spans="1:15" hidden="1" x14ac:dyDescent="0.35">
      <c r="B5" t="s">
        <v>108</v>
      </c>
      <c r="C5" t="s">
        <v>108</v>
      </c>
      <c r="E5" s="11">
        <v>44928.5</v>
      </c>
      <c r="F5" s="11">
        <v>44928.541666666664</v>
      </c>
      <c r="G5">
        <v>10</v>
      </c>
      <c r="H5" t="s">
        <v>111</v>
      </c>
    </row>
    <row r="6" spans="1:15" hidden="1" x14ac:dyDescent="0.35">
      <c r="A6" t="s">
        <v>169</v>
      </c>
      <c r="B6" s="4" t="s">
        <v>85</v>
      </c>
      <c r="C6" s="3" t="s">
        <v>92</v>
      </c>
      <c r="D6" s="3" t="s">
        <v>186</v>
      </c>
      <c r="E6" s="11">
        <v>44928.625</v>
      </c>
      <c r="F6" s="11">
        <v>44928.666666666664</v>
      </c>
      <c r="G6" s="13">
        <f t="shared" ref="G6:G11" si="3">(F6-E6)*24</f>
        <v>0.99999999994179234</v>
      </c>
      <c r="H6" t="s">
        <v>112</v>
      </c>
    </row>
    <row r="7" spans="1:15" hidden="1" x14ac:dyDescent="0.35">
      <c r="A7" t="s">
        <v>169</v>
      </c>
      <c r="B7" s="4" t="s">
        <v>77</v>
      </c>
      <c r="C7" s="3" t="s">
        <v>76</v>
      </c>
      <c r="D7" s="3" t="s">
        <v>186</v>
      </c>
      <c r="E7" s="11">
        <v>44929.364583333336</v>
      </c>
      <c r="F7" s="11">
        <v>44929.385416666664</v>
      </c>
      <c r="G7" s="13">
        <f t="shared" si="3"/>
        <v>0.49999999988358468</v>
      </c>
      <c r="H7" t="s">
        <v>9</v>
      </c>
    </row>
    <row r="8" spans="1:15" hidden="1" x14ac:dyDescent="0.35">
      <c r="A8" t="s">
        <v>169</v>
      </c>
      <c r="B8" s="4" t="s">
        <v>85</v>
      </c>
      <c r="C8" s="3" t="s">
        <v>89</v>
      </c>
      <c r="D8" s="3" t="s">
        <v>186</v>
      </c>
      <c r="E8" s="11">
        <v>44929.395833333336</v>
      </c>
      <c r="F8" s="11">
        <v>44929.416666666664</v>
      </c>
      <c r="G8" s="13">
        <f t="shared" si="3"/>
        <v>0.49999999988358468</v>
      </c>
      <c r="H8" t="s">
        <v>113</v>
      </c>
    </row>
    <row r="9" spans="1:15" hidden="1" x14ac:dyDescent="0.35">
      <c r="A9" t="s">
        <v>169</v>
      </c>
      <c r="B9" t="s">
        <v>80</v>
      </c>
      <c r="C9" t="s">
        <v>174</v>
      </c>
      <c r="D9" t="s">
        <v>186</v>
      </c>
      <c r="E9" s="11">
        <v>44929.416666666664</v>
      </c>
      <c r="F9" s="11">
        <v>44929.4375</v>
      </c>
      <c r="G9" s="13">
        <f t="shared" si="3"/>
        <v>0.50000000005820766</v>
      </c>
      <c r="H9" t="s">
        <v>114</v>
      </c>
    </row>
    <row r="10" spans="1:15" hidden="1" x14ac:dyDescent="0.35">
      <c r="A10" t="s">
        <v>107</v>
      </c>
      <c r="B10" t="s">
        <v>175</v>
      </c>
      <c r="D10" t="s">
        <v>186</v>
      </c>
      <c r="E10" s="11">
        <v>44945.583333333336</v>
      </c>
      <c r="F10" s="11">
        <v>44945.604166666664</v>
      </c>
      <c r="G10" s="13">
        <f t="shared" si="3"/>
        <v>0.49999999988358468</v>
      </c>
      <c r="H10" t="s">
        <v>52</v>
      </c>
    </row>
    <row r="11" spans="1:15" hidden="1" x14ac:dyDescent="0.35">
      <c r="A11" t="s">
        <v>169</v>
      </c>
      <c r="B11" s="4" t="s">
        <v>85</v>
      </c>
      <c r="C11" s="3" t="s">
        <v>89</v>
      </c>
      <c r="D11" s="3" t="s">
        <v>186</v>
      </c>
      <c r="E11" s="11">
        <v>44929.479166666664</v>
      </c>
      <c r="F11" s="11">
        <v>44929.5</v>
      </c>
      <c r="G11" s="13">
        <f t="shared" si="3"/>
        <v>0.50000000005820766</v>
      </c>
      <c r="H11" t="s">
        <v>12</v>
      </c>
    </row>
    <row r="12" spans="1:15" hidden="1" x14ac:dyDescent="0.35">
      <c r="B12" t="s">
        <v>108</v>
      </c>
      <c r="C12" t="s">
        <v>108</v>
      </c>
      <c r="E12" s="11">
        <v>44929.479166666664</v>
      </c>
      <c r="F12" s="11">
        <v>44929.5</v>
      </c>
      <c r="G12">
        <v>5</v>
      </c>
      <c r="H12" t="s">
        <v>115</v>
      </c>
    </row>
    <row r="13" spans="1:15" hidden="1" x14ac:dyDescent="0.35">
      <c r="B13" t="s">
        <v>108</v>
      </c>
      <c r="C13" t="s">
        <v>108</v>
      </c>
      <c r="E13" s="11">
        <v>44929.5</v>
      </c>
      <c r="F13" s="11">
        <v>44929.541666666664</v>
      </c>
      <c r="G13">
        <v>10</v>
      </c>
      <c r="H13" t="s">
        <v>111</v>
      </c>
    </row>
    <row r="14" spans="1:15" hidden="1" x14ac:dyDescent="0.35">
      <c r="B14" t="s">
        <v>108</v>
      </c>
      <c r="C14" t="s">
        <v>108</v>
      </c>
      <c r="E14" s="11">
        <v>44929.510416666664</v>
      </c>
      <c r="F14" s="11">
        <v>44929.552083333336</v>
      </c>
      <c r="G14">
        <v>10</v>
      </c>
      <c r="H14" t="s">
        <v>116</v>
      </c>
    </row>
    <row r="15" spans="1:15" hidden="1" x14ac:dyDescent="0.35">
      <c r="A15" t="s">
        <v>107</v>
      </c>
      <c r="B15" t="s">
        <v>80</v>
      </c>
      <c r="C15" t="s">
        <v>171</v>
      </c>
      <c r="D15" t="s">
        <v>186</v>
      </c>
      <c r="E15" s="11">
        <v>44936.666666666664</v>
      </c>
      <c r="F15" s="11">
        <v>44936.708333333336</v>
      </c>
      <c r="G15" s="13">
        <f t="shared" ref="G15:G19" si="4">(F15-E15)*24</f>
        <v>1.0000000001164153</v>
      </c>
      <c r="H15" t="s">
        <v>27</v>
      </c>
    </row>
    <row r="16" spans="1:15" hidden="1" x14ac:dyDescent="0.35">
      <c r="A16" t="s">
        <v>169</v>
      </c>
      <c r="B16" t="s">
        <v>80</v>
      </c>
      <c r="C16" t="s">
        <v>171</v>
      </c>
      <c r="D16" t="s">
        <v>186</v>
      </c>
      <c r="E16" s="11">
        <v>44929.625</v>
      </c>
      <c r="F16" s="11">
        <v>44929.666666666664</v>
      </c>
      <c r="G16" s="13">
        <f t="shared" si="4"/>
        <v>0.99999999994179234</v>
      </c>
      <c r="H16" t="s">
        <v>117</v>
      </c>
    </row>
    <row r="17" spans="1:8" x14ac:dyDescent="0.35">
      <c r="A17" t="s">
        <v>107</v>
      </c>
      <c r="B17" t="s">
        <v>80</v>
      </c>
      <c r="C17" t="s">
        <v>171</v>
      </c>
      <c r="E17" s="11">
        <v>44938.708333333336</v>
      </c>
      <c r="F17" s="11">
        <v>44938.75</v>
      </c>
      <c r="G17" s="13">
        <f t="shared" si="4"/>
        <v>0.99999999994179234</v>
      </c>
      <c r="H17" t="s">
        <v>35</v>
      </c>
    </row>
    <row r="18" spans="1:8" hidden="1" x14ac:dyDescent="0.35">
      <c r="A18" t="s">
        <v>169</v>
      </c>
      <c r="B18" s="4" t="s">
        <v>77</v>
      </c>
      <c r="C18" s="3" t="s">
        <v>76</v>
      </c>
      <c r="D18" s="3" t="s">
        <v>186</v>
      </c>
      <c r="E18" s="11">
        <v>44930.364583333336</v>
      </c>
      <c r="F18" s="11">
        <v>44930.385416666664</v>
      </c>
      <c r="G18" s="13">
        <f t="shared" si="4"/>
        <v>0.49999999988358468</v>
      </c>
      <c r="H18" t="s">
        <v>9</v>
      </c>
    </row>
    <row r="19" spans="1:8" hidden="1" x14ac:dyDescent="0.35">
      <c r="A19" t="s">
        <v>169</v>
      </c>
      <c r="B19" t="s">
        <v>80</v>
      </c>
      <c r="C19" t="s">
        <v>172</v>
      </c>
      <c r="D19" t="s">
        <v>186</v>
      </c>
      <c r="E19" s="11">
        <v>44930.458333333336</v>
      </c>
      <c r="F19" s="11">
        <v>44930.479166666664</v>
      </c>
      <c r="G19" s="13">
        <f t="shared" si="4"/>
        <v>0.49999999988358468</v>
      </c>
      <c r="H19" t="s">
        <v>14</v>
      </c>
    </row>
    <row r="20" spans="1:8" hidden="1" x14ac:dyDescent="0.35">
      <c r="B20" t="s">
        <v>108</v>
      </c>
      <c r="C20" t="s">
        <v>108</v>
      </c>
      <c r="E20" s="11">
        <v>44930.479166666664</v>
      </c>
      <c r="F20" s="11">
        <v>44930.5</v>
      </c>
      <c r="G20">
        <v>5</v>
      </c>
      <c r="H20" t="s">
        <v>115</v>
      </c>
    </row>
    <row r="21" spans="1:8" hidden="1" x14ac:dyDescent="0.35">
      <c r="B21" t="s">
        <v>108</v>
      </c>
      <c r="C21" t="s">
        <v>108</v>
      </c>
      <c r="E21" s="11">
        <v>44930.479166666664</v>
      </c>
      <c r="F21" s="11">
        <v>44930.5</v>
      </c>
      <c r="G21">
        <v>5</v>
      </c>
      <c r="H21" t="s">
        <v>15</v>
      </c>
    </row>
    <row r="22" spans="1:8" hidden="1" x14ac:dyDescent="0.35">
      <c r="B22" t="s">
        <v>108</v>
      </c>
      <c r="C22" t="s">
        <v>108</v>
      </c>
      <c r="E22" s="11">
        <v>44930.5</v>
      </c>
      <c r="F22" s="11">
        <v>44930.541666666664</v>
      </c>
      <c r="G22">
        <v>10</v>
      </c>
      <c r="H22" t="s">
        <v>111</v>
      </c>
    </row>
    <row r="23" spans="1:8" hidden="1" x14ac:dyDescent="0.35">
      <c r="A23" t="s">
        <v>169</v>
      </c>
      <c r="B23" s="4" t="s">
        <v>85</v>
      </c>
      <c r="C23" s="3" t="s">
        <v>89</v>
      </c>
      <c r="D23" s="3" t="s">
        <v>186</v>
      </c>
      <c r="E23" s="11">
        <v>44930.583333333336</v>
      </c>
      <c r="F23" s="11">
        <v>44930.604166666664</v>
      </c>
      <c r="G23" s="13">
        <f t="shared" ref="G23:G27" si="5">(F23-E23)*24</f>
        <v>0.49999999988358468</v>
      </c>
      <c r="H23" t="s">
        <v>16</v>
      </c>
    </row>
    <row r="24" spans="1:8" hidden="1" x14ac:dyDescent="0.35">
      <c r="A24" t="s">
        <v>169</v>
      </c>
      <c r="B24" s="4" t="s">
        <v>77</v>
      </c>
      <c r="C24" s="3" t="s">
        <v>76</v>
      </c>
      <c r="D24" s="3" t="s">
        <v>186</v>
      </c>
      <c r="E24" s="11">
        <v>44931.364583333336</v>
      </c>
      <c r="F24" s="11">
        <v>44931.385416666664</v>
      </c>
      <c r="G24" s="13">
        <f t="shared" si="5"/>
        <v>0.49999999988358468</v>
      </c>
      <c r="H24" t="s">
        <v>9</v>
      </c>
    </row>
    <row r="25" spans="1:8" x14ac:dyDescent="0.35">
      <c r="A25" t="s">
        <v>107</v>
      </c>
      <c r="B25" t="s">
        <v>80</v>
      </c>
      <c r="C25" t="s">
        <v>171</v>
      </c>
      <c r="E25" s="11">
        <v>44938.625</v>
      </c>
      <c r="F25" s="11">
        <v>44938.666666666664</v>
      </c>
      <c r="G25" s="13">
        <f t="shared" si="5"/>
        <v>0.99999999994179234</v>
      </c>
      <c r="H25" t="s">
        <v>34</v>
      </c>
    </row>
    <row r="26" spans="1:8" hidden="1" x14ac:dyDescent="0.35">
      <c r="A26" t="s">
        <v>170</v>
      </c>
      <c r="B26" t="s">
        <v>175</v>
      </c>
      <c r="D26" t="s">
        <v>186</v>
      </c>
      <c r="E26" s="11">
        <v>44932.493055555555</v>
      </c>
      <c r="F26" s="11">
        <v>44932.513888888891</v>
      </c>
      <c r="G26" s="13">
        <f t="shared" si="5"/>
        <v>0.50000000005820766</v>
      </c>
      <c r="H26" t="s">
        <v>125</v>
      </c>
    </row>
    <row r="27" spans="1:8" hidden="1" x14ac:dyDescent="0.35">
      <c r="A27" t="s">
        <v>170</v>
      </c>
      <c r="B27" t="s">
        <v>175</v>
      </c>
      <c r="D27" t="s">
        <v>186</v>
      </c>
      <c r="E27" s="11">
        <v>44936.708333333336</v>
      </c>
      <c r="F27" s="11">
        <v>44936.729166666664</v>
      </c>
      <c r="G27" s="13">
        <f t="shared" si="5"/>
        <v>0.49999999988358468</v>
      </c>
      <c r="H27" t="s">
        <v>130</v>
      </c>
    </row>
    <row r="28" spans="1:8" hidden="1" x14ac:dyDescent="0.35">
      <c r="B28" t="s">
        <v>108</v>
      </c>
      <c r="C28" t="s">
        <v>108</v>
      </c>
      <c r="E28" s="11">
        <v>44931.479166666664</v>
      </c>
      <c r="F28" s="11">
        <v>44931.5</v>
      </c>
      <c r="G28">
        <v>5</v>
      </c>
      <c r="H28" t="s">
        <v>115</v>
      </c>
    </row>
    <row r="29" spans="1:8" hidden="1" x14ac:dyDescent="0.35">
      <c r="B29" t="s">
        <v>108</v>
      </c>
      <c r="C29" t="s">
        <v>108</v>
      </c>
      <c r="E29" s="11">
        <v>44931.5</v>
      </c>
      <c r="F29" s="11">
        <v>44931.541666666664</v>
      </c>
      <c r="G29">
        <v>10</v>
      </c>
      <c r="H29" t="s">
        <v>111</v>
      </c>
    </row>
    <row r="30" spans="1:8" hidden="1" x14ac:dyDescent="0.35">
      <c r="B30" t="s">
        <v>108</v>
      </c>
      <c r="C30" t="s">
        <v>108</v>
      </c>
      <c r="E30" s="11">
        <v>44931.510416666664</v>
      </c>
      <c r="F30" s="11">
        <v>44931.552083333336</v>
      </c>
      <c r="G30">
        <v>10</v>
      </c>
      <c r="H30" t="s">
        <v>116</v>
      </c>
    </row>
    <row r="31" spans="1:8" hidden="1" x14ac:dyDescent="0.35">
      <c r="A31" t="s">
        <v>170</v>
      </c>
      <c r="B31" t="s">
        <v>175</v>
      </c>
      <c r="D31" t="s">
        <v>186</v>
      </c>
      <c r="E31" s="11">
        <v>44942.4375</v>
      </c>
      <c r="F31" s="11">
        <v>44942.479166666664</v>
      </c>
      <c r="G31" s="13">
        <f t="shared" ref="G31:G37" si="6">(F31-E31)*24</f>
        <v>0.99999999994179234</v>
      </c>
      <c r="H31" t="s">
        <v>40</v>
      </c>
    </row>
    <row r="32" spans="1:8" hidden="1" x14ac:dyDescent="0.35">
      <c r="A32" t="s">
        <v>169</v>
      </c>
      <c r="B32" t="s">
        <v>77</v>
      </c>
      <c r="C32" t="s">
        <v>177</v>
      </c>
      <c r="D32" t="s">
        <v>186</v>
      </c>
      <c r="E32" s="11">
        <v>44931.625</v>
      </c>
      <c r="F32" s="11">
        <v>44931.666666666664</v>
      </c>
      <c r="G32" s="13">
        <f t="shared" si="6"/>
        <v>0.99999999994179234</v>
      </c>
      <c r="H32" t="s">
        <v>123</v>
      </c>
    </row>
    <row r="33" spans="1:8" hidden="1" x14ac:dyDescent="0.35">
      <c r="A33" t="s">
        <v>169</v>
      </c>
      <c r="B33" t="s">
        <v>80</v>
      </c>
      <c r="C33" t="s">
        <v>173</v>
      </c>
      <c r="D33" t="s">
        <v>186</v>
      </c>
      <c r="E33" s="11">
        <v>44931.666666666664</v>
      </c>
      <c r="F33" s="11">
        <v>44931.708333333336</v>
      </c>
      <c r="G33" s="13">
        <f t="shared" si="6"/>
        <v>1.0000000001164153</v>
      </c>
      <c r="H33" t="s">
        <v>17</v>
      </c>
    </row>
    <row r="34" spans="1:8" hidden="1" x14ac:dyDescent="0.35">
      <c r="A34" t="s">
        <v>169</v>
      </c>
      <c r="B34" s="4" t="s">
        <v>77</v>
      </c>
      <c r="C34" s="3" t="s">
        <v>98</v>
      </c>
      <c r="D34" s="3" t="s">
        <v>186</v>
      </c>
      <c r="E34" s="11">
        <v>44935.385416666664</v>
      </c>
      <c r="F34" s="11">
        <v>44935.427083333336</v>
      </c>
      <c r="G34" s="13">
        <f t="shared" si="6"/>
        <v>1.0000000001164153</v>
      </c>
      <c r="H34" t="s">
        <v>109</v>
      </c>
    </row>
    <row r="35" spans="1:8" hidden="1" x14ac:dyDescent="0.35">
      <c r="A35" t="s">
        <v>169</v>
      </c>
      <c r="B35" s="4" t="s">
        <v>77</v>
      </c>
      <c r="C35" s="3" t="s">
        <v>98</v>
      </c>
      <c r="D35" s="3" t="s">
        <v>186</v>
      </c>
      <c r="E35" s="11">
        <v>44942.385416666664</v>
      </c>
      <c r="F35" s="11">
        <v>44942.427083333336</v>
      </c>
      <c r="G35" s="13">
        <f t="shared" si="6"/>
        <v>1.0000000001164153</v>
      </c>
      <c r="H35" t="s">
        <v>109</v>
      </c>
    </row>
    <row r="36" spans="1:8" hidden="1" x14ac:dyDescent="0.35">
      <c r="A36" t="s">
        <v>169</v>
      </c>
      <c r="B36" s="4" t="s">
        <v>77</v>
      </c>
      <c r="C36" s="3" t="s">
        <v>98</v>
      </c>
      <c r="D36" s="3" t="s">
        <v>186</v>
      </c>
      <c r="E36" s="11">
        <v>44951.666666666664</v>
      </c>
      <c r="F36" s="11">
        <v>44951.708333333336</v>
      </c>
      <c r="G36" s="13">
        <f t="shared" si="6"/>
        <v>1.0000000001164153</v>
      </c>
      <c r="H36" t="s">
        <v>109</v>
      </c>
    </row>
    <row r="37" spans="1:8" hidden="1" x14ac:dyDescent="0.35">
      <c r="A37" t="s">
        <v>107</v>
      </c>
      <c r="B37" t="s">
        <v>80</v>
      </c>
      <c r="C37" t="s">
        <v>171</v>
      </c>
      <c r="D37" t="s">
        <v>186</v>
      </c>
      <c r="E37" s="11">
        <v>44942.708333333336</v>
      </c>
      <c r="F37" s="11">
        <v>44942.75</v>
      </c>
      <c r="G37" s="13">
        <f t="shared" si="6"/>
        <v>0.99999999994179234</v>
      </c>
      <c r="H37" t="s">
        <v>43</v>
      </c>
    </row>
    <row r="38" spans="1:8" hidden="1" x14ac:dyDescent="0.35">
      <c r="B38" t="s">
        <v>108</v>
      </c>
      <c r="C38" t="s">
        <v>108</v>
      </c>
      <c r="E38" s="11">
        <v>44932.479166666664</v>
      </c>
      <c r="F38" s="11">
        <v>44932.5</v>
      </c>
      <c r="G38">
        <v>5</v>
      </c>
      <c r="H38" t="s">
        <v>115</v>
      </c>
    </row>
    <row r="39" spans="1:8" hidden="1" x14ac:dyDescent="0.35">
      <c r="A39" t="s">
        <v>107</v>
      </c>
      <c r="B39" t="s">
        <v>80</v>
      </c>
      <c r="C39" t="s">
        <v>171</v>
      </c>
      <c r="D39" t="s">
        <v>186</v>
      </c>
      <c r="E39" s="11">
        <v>44950.666666666664</v>
      </c>
      <c r="F39" s="11">
        <v>44950.6875</v>
      </c>
      <c r="G39" s="13">
        <f>(F39-E39)*24</f>
        <v>0.50000000005820766</v>
      </c>
      <c r="H39" t="s">
        <v>156</v>
      </c>
    </row>
    <row r="40" spans="1:8" hidden="1" x14ac:dyDescent="0.35">
      <c r="B40" t="s">
        <v>108</v>
      </c>
      <c r="C40" t="s">
        <v>108</v>
      </c>
      <c r="E40" s="11">
        <v>44932.5</v>
      </c>
      <c r="F40" s="11">
        <v>44932.541666666664</v>
      </c>
      <c r="G40">
        <v>10</v>
      </c>
      <c r="H40" t="s">
        <v>111</v>
      </c>
    </row>
    <row r="41" spans="1:8" hidden="1" x14ac:dyDescent="0.35">
      <c r="A41" t="s">
        <v>169</v>
      </c>
      <c r="B41" s="4" t="s">
        <v>77</v>
      </c>
      <c r="C41" s="3" t="s">
        <v>98</v>
      </c>
      <c r="D41" s="3" t="s">
        <v>186</v>
      </c>
      <c r="E41" s="11">
        <v>44932.604166666664</v>
      </c>
      <c r="F41" s="11">
        <v>44932.666666666664</v>
      </c>
      <c r="G41" s="13">
        <f t="shared" ref="G41:G42" si="7">(F41-E41)*24</f>
        <v>1.5</v>
      </c>
      <c r="H41" t="s">
        <v>126</v>
      </c>
    </row>
    <row r="42" spans="1:8" hidden="1" x14ac:dyDescent="0.35">
      <c r="A42" t="s">
        <v>169</v>
      </c>
      <c r="B42" s="9" t="s">
        <v>77</v>
      </c>
      <c r="C42" s="3" t="s">
        <v>76</v>
      </c>
      <c r="D42" s="3" t="s">
        <v>186</v>
      </c>
      <c r="E42" s="11">
        <v>44932.666666666664</v>
      </c>
      <c r="F42" s="11">
        <v>44932.729166666664</v>
      </c>
      <c r="G42" s="13">
        <f t="shared" si="7"/>
        <v>1.5</v>
      </c>
      <c r="H42" t="s">
        <v>21</v>
      </c>
    </row>
    <row r="43" spans="1:8" hidden="1" x14ac:dyDescent="0.35">
      <c r="B43" t="s">
        <v>108</v>
      </c>
      <c r="C43" t="s">
        <v>108</v>
      </c>
      <c r="E43" s="11">
        <v>44933.479166666664</v>
      </c>
      <c r="F43" s="11">
        <v>44933.5</v>
      </c>
      <c r="G43">
        <v>5</v>
      </c>
      <c r="H43" t="s">
        <v>115</v>
      </c>
    </row>
    <row r="44" spans="1:8" hidden="1" x14ac:dyDescent="0.35">
      <c r="B44" t="s">
        <v>108</v>
      </c>
      <c r="C44" t="s">
        <v>108</v>
      </c>
      <c r="E44" s="11">
        <v>44934.479166666664</v>
      </c>
      <c r="F44" s="11">
        <v>44934.5</v>
      </c>
      <c r="G44">
        <v>5</v>
      </c>
      <c r="H44" t="s">
        <v>115</v>
      </c>
    </row>
    <row r="45" spans="1:8" hidden="1" x14ac:dyDescent="0.35">
      <c r="A45" t="s">
        <v>169</v>
      </c>
      <c r="B45" s="4" t="s">
        <v>77</v>
      </c>
      <c r="C45" s="3" t="s">
        <v>76</v>
      </c>
      <c r="D45" s="3" t="s">
        <v>186</v>
      </c>
      <c r="E45" s="11">
        <v>44935.364583333336</v>
      </c>
      <c r="F45" s="11">
        <v>44935.385416666664</v>
      </c>
      <c r="G45" s="13">
        <f t="shared" ref="G45:G48" si="8">(F45-E45)*24</f>
        <v>0.49999999988358468</v>
      </c>
      <c r="H45" t="s">
        <v>9</v>
      </c>
    </row>
    <row r="46" spans="1:8" x14ac:dyDescent="0.35">
      <c r="A46" t="s">
        <v>107</v>
      </c>
      <c r="B46" t="s">
        <v>80</v>
      </c>
      <c r="C46" t="s">
        <v>171</v>
      </c>
      <c r="E46" s="11">
        <v>44931.583333333336</v>
      </c>
      <c r="F46" s="11">
        <v>44931.625</v>
      </c>
      <c r="G46" s="13">
        <f t="shared" si="8"/>
        <v>0.99999999994179234</v>
      </c>
      <c r="H46" t="s">
        <v>122</v>
      </c>
    </row>
    <row r="47" spans="1:8" hidden="1" x14ac:dyDescent="0.35">
      <c r="A47" t="s">
        <v>169</v>
      </c>
      <c r="B47" t="s">
        <v>80</v>
      </c>
      <c r="C47" t="s">
        <v>172</v>
      </c>
      <c r="D47" t="s">
        <v>186</v>
      </c>
      <c r="E47" s="11">
        <v>44931.458333333336</v>
      </c>
      <c r="F47" s="11">
        <v>44931.5</v>
      </c>
      <c r="G47" s="13">
        <f t="shared" si="8"/>
        <v>0.99999999994179234</v>
      </c>
      <c r="H47" t="s">
        <v>120</v>
      </c>
    </row>
    <row r="48" spans="1:8" hidden="1" x14ac:dyDescent="0.35">
      <c r="A48" t="s">
        <v>169</v>
      </c>
      <c r="B48" t="s">
        <v>80</v>
      </c>
      <c r="C48" t="s">
        <v>172</v>
      </c>
      <c r="D48" t="s">
        <v>186</v>
      </c>
      <c r="E48" s="11">
        <v>44938.458333333336</v>
      </c>
      <c r="F48" s="11">
        <v>44938.5</v>
      </c>
      <c r="G48" s="13">
        <f t="shared" si="8"/>
        <v>0.99999999994179234</v>
      </c>
      <c r="H48" t="s">
        <v>120</v>
      </c>
    </row>
    <row r="49" spans="1:8" hidden="1" x14ac:dyDescent="0.35">
      <c r="B49" t="s">
        <v>108</v>
      </c>
      <c r="C49" t="s">
        <v>108</v>
      </c>
      <c r="E49" s="11">
        <v>44935.479166666664</v>
      </c>
      <c r="F49" s="11">
        <v>44935.5</v>
      </c>
      <c r="G49">
        <v>5</v>
      </c>
      <c r="H49" t="s">
        <v>115</v>
      </c>
    </row>
    <row r="50" spans="1:8" hidden="1" x14ac:dyDescent="0.35">
      <c r="A50" t="s">
        <v>169</v>
      </c>
      <c r="B50" s="4" t="s">
        <v>85</v>
      </c>
      <c r="C50" s="3" t="s">
        <v>89</v>
      </c>
      <c r="D50" s="3" t="s">
        <v>186</v>
      </c>
      <c r="E50" s="11">
        <v>44935.489583333336</v>
      </c>
      <c r="F50" s="11">
        <v>44935.5</v>
      </c>
      <c r="G50" s="13">
        <f>(F50-E50)*24</f>
        <v>0.24999999994179234</v>
      </c>
      <c r="H50" t="s">
        <v>110</v>
      </c>
    </row>
    <row r="51" spans="1:8" hidden="1" x14ac:dyDescent="0.35">
      <c r="B51" t="s">
        <v>108</v>
      </c>
      <c r="C51" t="s">
        <v>108</v>
      </c>
      <c r="E51" s="11">
        <v>44935.5</v>
      </c>
      <c r="F51" s="11">
        <v>44935.541666666664</v>
      </c>
      <c r="G51">
        <v>10</v>
      </c>
      <c r="H51" t="s">
        <v>111</v>
      </c>
    </row>
    <row r="52" spans="1:8" hidden="1" x14ac:dyDescent="0.35">
      <c r="A52" t="s">
        <v>169</v>
      </c>
      <c r="B52" t="s">
        <v>80</v>
      </c>
      <c r="C52" t="s">
        <v>172</v>
      </c>
      <c r="D52" t="s">
        <v>186</v>
      </c>
      <c r="E52" s="11">
        <v>44945.458333333336</v>
      </c>
      <c r="F52" s="11">
        <v>44945.5</v>
      </c>
      <c r="G52" s="13">
        <f t="shared" ref="G52:G53" si="9">(F52-E52)*24</f>
        <v>0.99999999994179234</v>
      </c>
      <c r="H52" t="s">
        <v>120</v>
      </c>
    </row>
    <row r="53" spans="1:8" hidden="1" x14ac:dyDescent="0.35">
      <c r="A53" t="s">
        <v>169</v>
      </c>
      <c r="B53" s="4" t="s">
        <v>85</v>
      </c>
      <c r="C53" s="3" t="s">
        <v>92</v>
      </c>
      <c r="D53" s="3" t="s">
        <v>186</v>
      </c>
      <c r="E53" s="11">
        <v>44935.625</v>
      </c>
      <c r="F53" s="11">
        <v>44935.666666666664</v>
      </c>
      <c r="G53" s="13">
        <f t="shared" si="9"/>
        <v>0.99999999994179234</v>
      </c>
      <c r="H53" t="s">
        <v>112</v>
      </c>
    </row>
    <row r="54" spans="1:8" hidden="1" x14ac:dyDescent="0.35">
      <c r="B54" t="s">
        <v>108</v>
      </c>
      <c r="C54" t="s">
        <v>108</v>
      </c>
      <c r="E54" s="11">
        <v>44935.708333333336</v>
      </c>
      <c r="F54" s="11">
        <v>44935.729166666664</v>
      </c>
      <c r="G54">
        <v>5</v>
      </c>
      <c r="H54" t="s">
        <v>24</v>
      </c>
    </row>
    <row r="55" spans="1:8" hidden="1" x14ac:dyDescent="0.35">
      <c r="A55" t="s">
        <v>169</v>
      </c>
      <c r="B55" s="4" t="s">
        <v>77</v>
      </c>
      <c r="C55" s="3" t="s">
        <v>76</v>
      </c>
      <c r="D55" s="3" t="s">
        <v>186</v>
      </c>
      <c r="E55" s="11">
        <v>44936.364583333336</v>
      </c>
      <c r="F55" s="11">
        <v>44936.385416666664</v>
      </c>
      <c r="G55" s="13">
        <f t="shared" ref="G55:G58" si="10">(F55-E55)*24</f>
        <v>0.49999999988358468</v>
      </c>
      <c r="H55" t="s">
        <v>9</v>
      </c>
    </row>
    <row r="56" spans="1:8" hidden="1" x14ac:dyDescent="0.35">
      <c r="A56" t="s">
        <v>169</v>
      </c>
      <c r="B56" s="4" t="s">
        <v>85</v>
      </c>
      <c r="C56" s="3" t="s">
        <v>89</v>
      </c>
      <c r="D56" s="3" t="s">
        <v>186</v>
      </c>
      <c r="E56" s="11">
        <v>44936.395833333336</v>
      </c>
      <c r="F56" s="11">
        <v>44936.416666666664</v>
      </c>
      <c r="G56" s="13">
        <f t="shared" si="10"/>
        <v>0.49999999988358468</v>
      </c>
      <c r="H56" t="s">
        <v>113</v>
      </c>
    </row>
    <row r="57" spans="1:8" hidden="1" x14ac:dyDescent="0.35">
      <c r="A57" t="s">
        <v>169</v>
      </c>
      <c r="B57" t="s">
        <v>80</v>
      </c>
      <c r="C57" t="s">
        <v>172</v>
      </c>
      <c r="D57" t="s">
        <v>186</v>
      </c>
      <c r="E57" s="11">
        <v>44952.458333333336</v>
      </c>
      <c r="F57" s="11">
        <v>44952.5</v>
      </c>
      <c r="G57" s="13">
        <f t="shared" si="10"/>
        <v>0.99999999994179234</v>
      </c>
      <c r="H57" t="s">
        <v>120</v>
      </c>
    </row>
    <row r="58" spans="1:8" hidden="1" x14ac:dyDescent="0.35">
      <c r="A58" t="s">
        <v>169</v>
      </c>
      <c r="B58" s="4" t="s">
        <v>85</v>
      </c>
      <c r="C58" s="3" t="s">
        <v>89</v>
      </c>
      <c r="D58" s="3" t="s">
        <v>186</v>
      </c>
      <c r="E58" s="11">
        <v>44936.479166666664</v>
      </c>
      <c r="F58" s="11">
        <v>44936.5</v>
      </c>
      <c r="G58" s="13">
        <f t="shared" si="10"/>
        <v>0.50000000005820766</v>
      </c>
      <c r="H58" t="s">
        <v>12</v>
      </c>
    </row>
    <row r="59" spans="1:8" hidden="1" x14ac:dyDescent="0.35">
      <c r="B59" t="s">
        <v>108</v>
      </c>
      <c r="C59" t="s">
        <v>108</v>
      </c>
      <c r="E59" s="11">
        <v>44936.479166666664</v>
      </c>
      <c r="F59" s="11">
        <v>44936.5</v>
      </c>
      <c r="G59">
        <v>5</v>
      </c>
      <c r="H59" t="s">
        <v>115</v>
      </c>
    </row>
    <row r="60" spans="1:8" hidden="1" x14ac:dyDescent="0.35">
      <c r="B60" t="s">
        <v>108</v>
      </c>
      <c r="C60" t="s">
        <v>108</v>
      </c>
      <c r="E60" s="11">
        <v>44936.5</v>
      </c>
      <c r="F60" s="11">
        <v>44936.541666666664</v>
      </c>
      <c r="G60">
        <v>10</v>
      </c>
      <c r="H60" t="s">
        <v>111</v>
      </c>
    </row>
    <row r="61" spans="1:8" hidden="1" x14ac:dyDescent="0.35">
      <c r="B61" t="s">
        <v>108</v>
      </c>
      <c r="C61" t="s">
        <v>108</v>
      </c>
      <c r="E61" s="11">
        <v>44936.510416666664</v>
      </c>
      <c r="F61" s="11">
        <v>44936.552083333336</v>
      </c>
      <c r="G61">
        <v>10</v>
      </c>
      <c r="H61" t="s">
        <v>116</v>
      </c>
    </row>
    <row r="62" spans="1:8" hidden="1" x14ac:dyDescent="0.35">
      <c r="A62" t="s">
        <v>170</v>
      </c>
      <c r="B62" t="s">
        <v>80</v>
      </c>
      <c r="C62" t="s">
        <v>173</v>
      </c>
      <c r="D62" t="s">
        <v>186</v>
      </c>
      <c r="E62" s="11">
        <v>44943.416666666664</v>
      </c>
      <c r="F62" s="11">
        <v>44943.4375</v>
      </c>
      <c r="G62" s="13">
        <f t="shared" ref="G62:G70" si="11">(F62-E62)*24</f>
        <v>0.50000000005820766</v>
      </c>
      <c r="H62" t="s">
        <v>138</v>
      </c>
    </row>
    <row r="63" spans="1:8" hidden="1" x14ac:dyDescent="0.35">
      <c r="A63" t="s">
        <v>170</v>
      </c>
      <c r="B63" t="s">
        <v>80</v>
      </c>
      <c r="C63" t="s">
        <v>173</v>
      </c>
      <c r="D63" t="s">
        <v>186</v>
      </c>
      <c r="E63" s="11">
        <v>44956.5625</v>
      </c>
      <c r="F63" s="11">
        <v>44956.583333333336</v>
      </c>
      <c r="G63" s="13">
        <f t="shared" si="11"/>
        <v>0.50000000005820766</v>
      </c>
      <c r="H63" t="s">
        <v>68</v>
      </c>
    </row>
    <row r="64" spans="1:8" hidden="1" x14ac:dyDescent="0.35">
      <c r="A64" t="s">
        <v>169</v>
      </c>
      <c r="B64" s="4" t="s">
        <v>77</v>
      </c>
      <c r="C64" s="3" t="s">
        <v>90</v>
      </c>
      <c r="D64" t="s">
        <v>186</v>
      </c>
      <c r="E64" s="11">
        <v>44936.604166666664</v>
      </c>
      <c r="F64" s="11">
        <v>44936.645833333336</v>
      </c>
      <c r="G64" s="13">
        <f t="shared" si="11"/>
        <v>1.0000000001164153</v>
      </c>
      <c r="H64" t="s">
        <v>26</v>
      </c>
    </row>
    <row r="65" spans="1:8" hidden="1" x14ac:dyDescent="0.35">
      <c r="A65" t="s">
        <v>169</v>
      </c>
      <c r="B65" t="s">
        <v>85</v>
      </c>
      <c r="C65" t="s">
        <v>85</v>
      </c>
      <c r="D65" t="s">
        <v>186</v>
      </c>
      <c r="E65" s="11">
        <v>44942.5625</v>
      </c>
      <c r="F65" s="11">
        <v>44942.604166666664</v>
      </c>
      <c r="G65" s="13">
        <f t="shared" si="11"/>
        <v>0.99999999994179234</v>
      </c>
      <c r="H65" t="s">
        <v>136</v>
      </c>
    </row>
    <row r="66" spans="1:8" hidden="1" x14ac:dyDescent="0.35">
      <c r="A66" t="s">
        <v>107</v>
      </c>
      <c r="B66" t="s">
        <v>175</v>
      </c>
      <c r="D66" t="s">
        <v>186</v>
      </c>
      <c r="E66" s="11">
        <v>44949.583333333336</v>
      </c>
      <c r="F66" s="11">
        <v>44949.625</v>
      </c>
      <c r="G66" s="13">
        <f t="shared" si="11"/>
        <v>0.99999999994179234</v>
      </c>
      <c r="H66" t="s">
        <v>150</v>
      </c>
    </row>
    <row r="67" spans="1:8" hidden="1" x14ac:dyDescent="0.35">
      <c r="A67" t="s">
        <v>169</v>
      </c>
      <c r="B67" s="4" t="s">
        <v>77</v>
      </c>
      <c r="C67" s="3" t="s">
        <v>76</v>
      </c>
      <c r="D67" s="3" t="s">
        <v>186</v>
      </c>
      <c r="E67" s="11">
        <v>44937.364583333336</v>
      </c>
      <c r="F67" s="11">
        <v>44937.385416666664</v>
      </c>
      <c r="G67" s="13">
        <f t="shared" si="11"/>
        <v>0.49999999988358468</v>
      </c>
      <c r="H67" t="s">
        <v>9</v>
      </c>
    </row>
    <row r="68" spans="1:8" hidden="1" x14ac:dyDescent="0.35">
      <c r="A68" t="s">
        <v>169</v>
      </c>
      <c r="B68" t="s">
        <v>80</v>
      </c>
      <c r="C68" t="s">
        <v>173</v>
      </c>
      <c r="D68" t="s">
        <v>186</v>
      </c>
      <c r="E68" s="11">
        <v>44943.666666666664</v>
      </c>
      <c r="F68" s="11">
        <v>44943.697916666664</v>
      </c>
      <c r="G68" s="13">
        <f t="shared" si="11"/>
        <v>0.75</v>
      </c>
      <c r="H68" t="s">
        <v>47</v>
      </c>
    </row>
    <row r="69" spans="1:8" hidden="1" x14ac:dyDescent="0.35">
      <c r="A69" t="s">
        <v>170</v>
      </c>
      <c r="B69" t="s">
        <v>80</v>
      </c>
      <c r="C69" t="s">
        <v>171</v>
      </c>
      <c r="D69" t="s">
        <v>186</v>
      </c>
      <c r="E69" s="11">
        <v>44936.5625</v>
      </c>
      <c r="F69" s="11">
        <v>44936.583333333336</v>
      </c>
      <c r="G69" s="13">
        <f t="shared" si="11"/>
        <v>0.50000000005820766</v>
      </c>
      <c r="H69" t="s">
        <v>129</v>
      </c>
    </row>
    <row r="70" spans="1:8" hidden="1" x14ac:dyDescent="0.35">
      <c r="A70" t="s">
        <v>169</v>
      </c>
      <c r="B70" t="s">
        <v>80</v>
      </c>
      <c r="C70" t="s">
        <v>172</v>
      </c>
      <c r="D70" t="s">
        <v>186</v>
      </c>
      <c r="E70" s="11">
        <v>44937.458333333336</v>
      </c>
      <c r="F70" s="11">
        <v>44937.479166666664</v>
      </c>
      <c r="G70" s="13">
        <f t="shared" si="11"/>
        <v>0.49999999988358468</v>
      </c>
      <c r="H70" t="s">
        <v>14</v>
      </c>
    </row>
    <row r="71" spans="1:8" hidden="1" x14ac:dyDescent="0.35">
      <c r="B71" t="s">
        <v>108</v>
      </c>
      <c r="C71" t="s">
        <v>108</v>
      </c>
      <c r="E71" s="11">
        <v>44937.479166666664</v>
      </c>
      <c r="F71" s="11">
        <v>44937.5</v>
      </c>
      <c r="G71">
        <v>5</v>
      </c>
      <c r="H71" t="s">
        <v>115</v>
      </c>
    </row>
    <row r="72" spans="1:8" hidden="1" x14ac:dyDescent="0.35">
      <c r="B72" t="s">
        <v>108</v>
      </c>
      <c r="C72" t="s">
        <v>108</v>
      </c>
      <c r="E72" s="11">
        <v>44937.479166666664</v>
      </c>
      <c r="F72" s="11">
        <v>44937.5</v>
      </c>
      <c r="G72">
        <v>5</v>
      </c>
      <c r="H72" t="s">
        <v>15</v>
      </c>
    </row>
    <row r="73" spans="1:8" hidden="1" x14ac:dyDescent="0.35">
      <c r="B73" t="s">
        <v>108</v>
      </c>
      <c r="C73" t="s">
        <v>108</v>
      </c>
      <c r="E73" s="11">
        <v>44937.5</v>
      </c>
      <c r="F73" s="11">
        <v>44937.541666666664</v>
      </c>
      <c r="G73">
        <v>10</v>
      </c>
      <c r="H73" t="s">
        <v>111</v>
      </c>
    </row>
    <row r="74" spans="1:8" hidden="1" x14ac:dyDescent="0.35">
      <c r="A74" t="s">
        <v>170</v>
      </c>
      <c r="B74" t="s">
        <v>175</v>
      </c>
      <c r="D74" t="s">
        <v>186</v>
      </c>
      <c r="E74" s="11">
        <v>44929.458333333336</v>
      </c>
      <c r="F74" s="11">
        <v>44929.5</v>
      </c>
      <c r="G74" s="13">
        <f t="shared" ref="G74:G81" si="12">(F74-E74)*24</f>
        <v>0.99999999994179234</v>
      </c>
      <c r="H74" t="s">
        <v>11</v>
      </c>
    </row>
    <row r="75" spans="1:8" hidden="1" x14ac:dyDescent="0.35">
      <c r="A75" t="s">
        <v>169</v>
      </c>
      <c r="B75" t="s">
        <v>80</v>
      </c>
      <c r="C75" t="s">
        <v>174</v>
      </c>
      <c r="D75" t="s">
        <v>186</v>
      </c>
      <c r="E75" s="11">
        <v>44937.583333333336</v>
      </c>
      <c r="F75" s="11">
        <v>44937.604166666664</v>
      </c>
      <c r="G75" s="13">
        <f t="shared" si="12"/>
        <v>0.49999999988358468</v>
      </c>
      <c r="H75" t="s">
        <v>30</v>
      </c>
    </row>
    <row r="76" spans="1:8" hidden="1" x14ac:dyDescent="0.35">
      <c r="A76" t="s">
        <v>170</v>
      </c>
      <c r="B76" t="s">
        <v>175</v>
      </c>
      <c r="D76" t="s">
        <v>186</v>
      </c>
      <c r="E76" s="11">
        <v>44951.479166666664</v>
      </c>
      <c r="F76" s="11">
        <v>44951.5</v>
      </c>
      <c r="G76" s="13">
        <f t="shared" si="12"/>
        <v>0.50000000005820766</v>
      </c>
      <c r="H76" t="s">
        <v>63</v>
      </c>
    </row>
    <row r="77" spans="1:8" hidden="1" x14ac:dyDescent="0.35">
      <c r="A77" t="s">
        <v>169</v>
      </c>
      <c r="B77" t="s">
        <v>77</v>
      </c>
      <c r="C77" t="s">
        <v>178</v>
      </c>
      <c r="D77" t="s">
        <v>186</v>
      </c>
      <c r="E77" s="11">
        <v>44932.458333333336</v>
      </c>
      <c r="F77" s="11">
        <v>44932.5</v>
      </c>
      <c r="G77" s="13">
        <f t="shared" si="12"/>
        <v>0.99999999994179234</v>
      </c>
      <c r="H77" t="s">
        <v>20</v>
      </c>
    </row>
    <row r="78" spans="1:8" hidden="1" x14ac:dyDescent="0.35">
      <c r="A78" t="s">
        <v>170</v>
      </c>
      <c r="B78" t="s">
        <v>175</v>
      </c>
      <c r="D78" t="s">
        <v>186</v>
      </c>
      <c r="E78" s="11">
        <v>44942.625</v>
      </c>
      <c r="F78" s="11">
        <v>44942.645833333336</v>
      </c>
      <c r="G78" s="13">
        <f t="shared" si="12"/>
        <v>0.50000000005820766</v>
      </c>
      <c r="H78" t="s">
        <v>42</v>
      </c>
    </row>
    <row r="79" spans="1:8" hidden="1" x14ac:dyDescent="0.35">
      <c r="A79" t="s">
        <v>169</v>
      </c>
      <c r="B79" s="4" t="s">
        <v>77</v>
      </c>
      <c r="C79" s="3" t="s">
        <v>76</v>
      </c>
      <c r="D79" s="3" t="s">
        <v>186</v>
      </c>
      <c r="E79" s="11">
        <v>44938.364583333336</v>
      </c>
      <c r="F79" s="11">
        <v>44938.385416666664</v>
      </c>
      <c r="G79" s="13">
        <f t="shared" si="12"/>
        <v>0.49999999988358468</v>
      </c>
      <c r="H79" t="s">
        <v>9</v>
      </c>
    </row>
    <row r="80" spans="1:8" hidden="1" x14ac:dyDescent="0.35">
      <c r="A80" t="s">
        <v>107</v>
      </c>
      <c r="B80" t="s">
        <v>175</v>
      </c>
      <c r="E80" s="11">
        <v>44932.416666666664</v>
      </c>
      <c r="F80" s="11">
        <v>44932.4375</v>
      </c>
      <c r="G80" s="13">
        <f t="shared" si="12"/>
        <v>0.50000000005820766</v>
      </c>
      <c r="H80" t="s">
        <v>18</v>
      </c>
    </row>
    <row r="81" spans="1:8" hidden="1" x14ac:dyDescent="0.35">
      <c r="A81" t="s">
        <v>107</v>
      </c>
      <c r="B81" t="s">
        <v>175</v>
      </c>
      <c r="E81" s="11">
        <v>44937.395833333336</v>
      </c>
      <c r="F81" s="11">
        <v>44937.416666666664</v>
      </c>
      <c r="G81" s="13">
        <f t="shared" si="12"/>
        <v>0.49999999988358468</v>
      </c>
      <c r="H81" t="s">
        <v>28</v>
      </c>
    </row>
    <row r="82" spans="1:8" hidden="1" x14ac:dyDescent="0.35">
      <c r="B82" t="s">
        <v>108</v>
      </c>
      <c r="C82" t="s">
        <v>108</v>
      </c>
      <c r="E82" s="11">
        <v>44938.479166666664</v>
      </c>
      <c r="F82" s="11">
        <v>44938.5</v>
      </c>
      <c r="G82">
        <v>5</v>
      </c>
      <c r="H82" t="s">
        <v>115</v>
      </c>
    </row>
    <row r="83" spans="1:8" hidden="1" x14ac:dyDescent="0.35">
      <c r="B83" t="s">
        <v>108</v>
      </c>
      <c r="C83" t="s">
        <v>108</v>
      </c>
      <c r="E83" s="11">
        <v>44938.5</v>
      </c>
      <c r="F83" s="11">
        <v>44938.541666666664</v>
      </c>
      <c r="G83">
        <v>10</v>
      </c>
      <c r="H83" t="s">
        <v>111</v>
      </c>
    </row>
    <row r="84" spans="1:8" hidden="1" x14ac:dyDescent="0.35">
      <c r="B84" t="s">
        <v>108</v>
      </c>
      <c r="C84" t="s">
        <v>108</v>
      </c>
      <c r="E84" s="11">
        <v>44938.510416666664</v>
      </c>
      <c r="F84" s="11">
        <v>44938.552083333336</v>
      </c>
      <c r="G84">
        <v>10</v>
      </c>
      <c r="H84" t="s">
        <v>116</v>
      </c>
    </row>
    <row r="85" spans="1:8" hidden="1" x14ac:dyDescent="0.35">
      <c r="A85" t="s">
        <v>169</v>
      </c>
      <c r="B85" s="4" t="s">
        <v>77</v>
      </c>
      <c r="C85" s="3" t="s">
        <v>95</v>
      </c>
      <c r="D85" s="3" t="s">
        <v>186</v>
      </c>
      <c r="E85" s="11">
        <v>44938.583333333336</v>
      </c>
      <c r="F85" s="11">
        <v>44938.604166666664</v>
      </c>
      <c r="G85" s="13">
        <f t="shared" ref="G85:G90" si="13">(F85-E85)*24</f>
        <v>0.49999999988358468</v>
      </c>
      <c r="H85" t="s">
        <v>33</v>
      </c>
    </row>
    <row r="86" spans="1:8" hidden="1" x14ac:dyDescent="0.35">
      <c r="A86" t="s">
        <v>107</v>
      </c>
      <c r="B86" t="s">
        <v>175</v>
      </c>
      <c r="E86" s="11">
        <v>44956.583333333336</v>
      </c>
      <c r="F86" s="11">
        <v>44956.625</v>
      </c>
      <c r="G86" s="13">
        <f t="shared" si="13"/>
        <v>0.99999999994179234</v>
      </c>
      <c r="H86" t="s">
        <v>69</v>
      </c>
    </row>
    <row r="87" spans="1:8" hidden="1" x14ac:dyDescent="0.35">
      <c r="A87" t="s">
        <v>169</v>
      </c>
      <c r="B87" t="s">
        <v>80</v>
      </c>
      <c r="C87" t="s">
        <v>173</v>
      </c>
      <c r="D87" t="s">
        <v>186</v>
      </c>
      <c r="E87" s="11">
        <v>44938.666666666664</v>
      </c>
      <c r="F87" s="11">
        <v>44938.708333333336</v>
      </c>
      <c r="G87" s="13">
        <f t="shared" si="13"/>
        <v>1.0000000001164153</v>
      </c>
      <c r="H87" t="s">
        <v>17</v>
      </c>
    </row>
    <row r="88" spans="1:8" hidden="1" x14ac:dyDescent="0.35">
      <c r="A88" t="s">
        <v>170</v>
      </c>
      <c r="B88" t="s">
        <v>175</v>
      </c>
      <c r="D88" t="s">
        <v>186</v>
      </c>
      <c r="E88" s="11">
        <v>44936.416666666664</v>
      </c>
      <c r="F88" s="11">
        <v>44936.5</v>
      </c>
      <c r="G88" s="13">
        <f t="shared" si="13"/>
        <v>2.0000000000582077</v>
      </c>
      <c r="H88" t="s">
        <v>128</v>
      </c>
    </row>
    <row r="89" spans="1:8" hidden="1" x14ac:dyDescent="0.35">
      <c r="A89" t="s">
        <v>170</v>
      </c>
      <c r="B89" t="s">
        <v>176</v>
      </c>
      <c r="D89" t="s">
        <v>186</v>
      </c>
      <c r="E89" s="11">
        <v>44937.416666666664</v>
      </c>
      <c r="F89" s="11">
        <v>44937.458333333336</v>
      </c>
      <c r="G89" s="13">
        <f t="shared" si="13"/>
        <v>1.0000000001164153</v>
      </c>
      <c r="H89" t="s">
        <v>29</v>
      </c>
    </row>
    <row r="90" spans="1:8" hidden="1" x14ac:dyDescent="0.35">
      <c r="A90" t="s">
        <v>169</v>
      </c>
      <c r="B90" t="s">
        <v>77</v>
      </c>
      <c r="C90" t="s">
        <v>98</v>
      </c>
      <c r="D90" s="3" t="s">
        <v>186</v>
      </c>
      <c r="E90" s="11">
        <v>44939.333333333336</v>
      </c>
      <c r="F90" s="11">
        <v>44939.375</v>
      </c>
      <c r="G90" s="13">
        <f t="shared" si="13"/>
        <v>0.99999999994179234</v>
      </c>
      <c r="H90" t="s">
        <v>36</v>
      </c>
    </row>
    <row r="91" spans="1:8" hidden="1" x14ac:dyDescent="0.35">
      <c r="B91" t="s">
        <v>108</v>
      </c>
      <c r="C91" t="s">
        <v>108</v>
      </c>
      <c r="E91" s="11">
        <v>44939.479166666664</v>
      </c>
      <c r="F91" s="11">
        <v>44939.5</v>
      </c>
      <c r="G91">
        <v>5</v>
      </c>
      <c r="H91" t="s">
        <v>115</v>
      </c>
    </row>
    <row r="92" spans="1:8" hidden="1" x14ac:dyDescent="0.35">
      <c r="B92" t="s">
        <v>108</v>
      </c>
      <c r="C92" t="s">
        <v>108</v>
      </c>
      <c r="E92" s="11">
        <v>44939.5</v>
      </c>
      <c r="F92" s="11">
        <v>44939.541666666664</v>
      </c>
      <c r="G92">
        <v>10</v>
      </c>
      <c r="H92" t="s">
        <v>111</v>
      </c>
    </row>
    <row r="93" spans="1:8" hidden="1" x14ac:dyDescent="0.35">
      <c r="A93" t="s">
        <v>107</v>
      </c>
      <c r="B93" t="s">
        <v>175</v>
      </c>
      <c r="D93" t="s">
        <v>186</v>
      </c>
      <c r="E93" s="11">
        <v>44936.541666666664</v>
      </c>
      <c r="F93" s="11">
        <v>44936.583333333336</v>
      </c>
      <c r="G93" s="13">
        <f t="shared" ref="G93:G96" si="14">(F93-E93)*24</f>
        <v>1.0000000001164153</v>
      </c>
      <c r="H93" t="s">
        <v>25</v>
      </c>
    </row>
    <row r="94" spans="1:8" hidden="1" x14ac:dyDescent="0.35">
      <c r="A94" t="s">
        <v>169</v>
      </c>
      <c r="B94" s="4" t="s">
        <v>77</v>
      </c>
      <c r="C94" s="3" t="s">
        <v>83</v>
      </c>
      <c r="D94" s="3" t="s">
        <v>186</v>
      </c>
      <c r="E94" s="11">
        <v>44939.5625</v>
      </c>
      <c r="F94" s="11">
        <v>44939.666666666664</v>
      </c>
      <c r="G94" s="13">
        <f t="shared" si="14"/>
        <v>2.4999999999417923</v>
      </c>
      <c r="H94" t="s">
        <v>38</v>
      </c>
    </row>
    <row r="95" spans="1:8" hidden="1" x14ac:dyDescent="0.35">
      <c r="A95" t="s">
        <v>107</v>
      </c>
      <c r="B95" t="s">
        <v>175</v>
      </c>
      <c r="D95" t="s">
        <v>186</v>
      </c>
      <c r="E95" s="11">
        <v>44943.541666666664</v>
      </c>
      <c r="F95" s="11">
        <v>44943.583333333336</v>
      </c>
      <c r="G95" s="13">
        <f t="shared" si="14"/>
        <v>1.0000000001164153</v>
      </c>
      <c r="H95" t="s">
        <v>25</v>
      </c>
    </row>
    <row r="96" spans="1:8" hidden="1" x14ac:dyDescent="0.35">
      <c r="A96" t="s">
        <v>107</v>
      </c>
      <c r="B96" t="s">
        <v>175</v>
      </c>
      <c r="D96" t="s">
        <v>186</v>
      </c>
      <c r="E96" s="11">
        <v>44944.416666666664</v>
      </c>
      <c r="F96" s="11">
        <v>44944.458333333336</v>
      </c>
      <c r="G96" s="13">
        <f t="shared" si="14"/>
        <v>1.0000000001164153</v>
      </c>
      <c r="H96" t="s">
        <v>141</v>
      </c>
    </row>
    <row r="97" spans="1:8" hidden="1" x14ac:dyDescent="0.35">
      <c r="B97" t="s">
        <v>108</v>
      </c>
      <c r="C97" t="s">
        <v>108</v>
      </c>
      <c r="E97" s="11">
        <v>44940.479166666664</v>
      </c>
      <c r="F97" s="11">
        <v>44940.5</v>
      </c>
      <c r="G97">
        <v>5</v>
      </c>
      <c r="H97" t="s">
        <v>115</v>
      </c>
    </row>
    <row r="98" spans="1:8" hidden="1" x14ac:dyDescent="0.35">
      <c r="B98" t="s">
        <v>108</v>
      </c>
      <c r="C98" t="s">
        <v>108</v>
      </c>
      <c r="E98" s="11">
        <v>44941.479166666664</v>
      </c>
      <c r="F98" s="11">
        <v>44941.5</v>
      </c>
      <c r="G98">
        <v>5</v>
      </c>
      <c r="H98" t="s">
        <v>115</v>
      </c>
    </row>
    <row r="99" spans="1:8" hidden="1" x14ac:dyDescent="0.35">
      <c r="A99" t="s">
        <v>169</v>
      </c>
      <c r="B99" s="4" t="s">
        <v>77</v>
      </c>
      <c r="C99" s="3" t="s">
        <v>76</v>
      </c>
      <c r="D99" s="3" t="s">
        <v>186</v>
      </c>
      <c r="E99" s="11">
        <v>44942.364583333336</v>
      </c>
      <c r="F99" s="11">
        <v>44942.385416666664</v>
      </c>
      <c r="G99" s="13">
        <f t="shared" ref="G99:G102" si="15">(F99-E99)*24</f>
        <v>0.49999999988358468</v>
      </c>
      <c r="H99" t="s">
        <v>9</v>
      </c>
    </row>
    <row r="100" spans="1:8" hidden="1" x14ac:dyDescent="0.35">
      <c r="A100" t="s">
        <v>169</v>
      </c>
      <c r="E100" s="11">
        <v>44946.625</v>
      </c>
      <c r="F100" s="11">
        <v>44946.635416666664</v>
      </c>
      <c r="G100" s="13">
        <f t="shared" si="15"/>
        <v>0.24999999994179234</v>
      </c>
      <c r="H100" t="s">
        <v>57</v>
      </c>
    </row>
    <row r="101" spans="1:8" hidden="1" x14ac:dyDescent="0.35">
      <c r="A101" t="s">
        <v>107</v>
      </c>
      <c r="B101" t="s">
        <v>175</v>
      </c>
      <c r="D101" t="s">
        <v>186</v>
      </c>
      <c r="E101" s="11">
        <v>44950.5625</v>
      </c>
      <c r="F101" s="11">
        <v>44950.583333333336</v>
      </c>
      <c r="G101" s="13">
        <f t="shared" si="15"/>
        <v>0.50000000005820766</v>
      </c>
      <c r="H101" t="s">
        <v>60</v>
      </c>
    </row>
    <row r="102" spans="1:8" hidden="1" x14ac:dyDescent="0.35">
      <c r="A102" t="s">
        <v>170</v>
      </c>
      <c r="B102" t="s">
        <v>175</v>
      </c>
      <c r="D102" t="s">
        <v>186</v>
      </c>
      <c r="E102" s="11">
        <v>44932.4375</v>
      </c>
      <c r="F102" s="11">
        <v>44932.479166666664</v>
      </c>
      <c r="G102" s="13">
        <f t="shared" si="15"/>
        <v>0.99999999994179234</v>
      </c>
      <c r="H102" t="s">
        <v>19</v>
      </c>
    </row>
    <row r="103" spans="1:8" hidden="1" x14ac:dyDescent="0.35">
      <c r="B103" t="s">
        <v>108</v>
      </c>
      <c r="C103" t="s">
        <v>108</v>
      </c>
      <c r="E103" s="11">
        <v>44942.479166666664</v>
      </c>
      <c r="F103" s="11">
        <v>44942.5</v>
      </c>
      <c r="G103">
        <v>5</v>
      </c>
      <c r="H103" t="s">
        <v>115</v>
      </c>
    </row>
    <row r="104" spans="1:8" hidden="1" x14ac:dyDescent="0.35">
      <c r="A104" t="s">
        <v>169</v>
      </c>
      <c r="B104" s="4" t="s">
        <v>85</v>
      </c>
      <c r="C104" s="3" t="s">
        <v>89</v>
      </c>
      <c r="D104" s="3" t="s">
        <v>186</v>
      </c>
      <c r="E104" s="11">
        <v>44942.489583333336</v>
      </c>
      <c r="F104" s="11">
        <v>44942.5</v>
      </c>
      <c r="G104" s="13">
        <f>(F104-E104)*24</f>
        <v>0.24999999994179234</v>
      </c>
      <c r="H104" t="s">
        <v>110</v>
      </c>
    </row>
    <row r="105" spans="1:8" hidden="1" x14ac:dyDescent="0.35">
      <c r="B105" t="s">
        <v>108</v>
      </c>
      <c r="C105" t="s">
        <v>108</v>
      </c>
      <c r="E105" s="11">
        <v>44942.5</v>
      </c>
      <c r="F105" s="11">
        <v>44942.541666666664</v>
      </c>
      <c r="G105">
        <v>10</v>
      </c>
      <c r="H105" t="s">
        <v>111</v>
      </c>
    </row>
    <row r="106" spans="1:8" hidden="1" x14ac:dyDescent="0.35">
      <c r="A106" t="s">
        <v>170</v>
      </c>
      <c r="B106" t="s">
        <v>175</v>
      </c>
      <c r="D106" t="s">
        <v>186</v>
      </c>
      <c r="E106" s="11">
        <v>44929.583333333336</v>
      </c>
      <c r="F106" s="11">
        <v>44929.604166666664</v>
      </c>
      <c r="G106" s="13">
        <f t="shared" ref="G106:G115" si="16">(F106-E106)*24</f>
        <v>0.49999999988358468</v>
      </c>
      <c r="H106" t="s">
        <v>13</v>
      </c>
    </row>
    <row r="107" spans="1:8" hidden="1" x14ac:dyDescent="0.35">
      <c r="A107" t="s">
        <v>107</v>
      </c>
      <c r="B107" t="s">
        <v>175</v>
      </c>
      <c r="D107" t="s">
        <v>186</v>
      </c>
      <c r="E107" s="11">
        <v>44937.708333333336</v>
      </c>
      <c r="F107" s="11">
        <v>44937.729166666664</v>
      </c>
      <c r="G107" s="13">
        <f t="shared" si="16"/>
        <v>0.49999999988358468</v>
      </c>
      <c r="H107" t="s">
        <v>31</v>
      </c>
    </row>
    <row r="108" spans="1:8" hidden="1" x14ac:dyDescent="0.35">
      <c r="A108" t="s">
        <v>169</v>
      </c>
      <c r="B108" t="s">
        <v>176</v>
      </c>
      <c r="D108" t="s">
        <v>186</v>
      </c>
      <c r="E108" s="11">
        <v>44945.395833333336</v>
      </c>
      <c r="F108" s="11">
        <v>44945.416666666664</v>
      </c>
      <c r="G108" s="13">
        <f t="shared" si="16"/>
        <v>0.49999999988358468</v>
      </c>
      <c r="H108" t="s">
        <v>51</v>
      </c>
    </row>
    <row r="109" spans="1:8" hidden="1" x14ac:dyDescent="0.35">
      <c r="A109" t="s">
        <v>169</v>
      </c>
      <c r="B109" t="s">
        <v>85</v>
      </c>
      <c r="C109" t="s">
        <v>89</v>
      </c>
      <c r="D109" s="3" t="s">
        <v>186</v>
      </c>
      <c r="E109" s="11">
        <v>44942.75</v>
      </c>
      <c r="F109" s="11">
        <v>44942.791666666664</v>
      </c>
      <c r="G109" s="13">
        <f t="shared" si="16"/>
        <v>0.99999999994179234</v>
      </c>
      <c r="H109" t="s">
        <v>44</v>
      </c>
    </row>
    <row r="110" spans="1:8" hidden="1" x14ac:dyDescent="0.35">
      <c r="A110" t="s">
        <v>169</v>
      </c>
      <c r="B110" s="4" t="s">
        <v>77</v>
      </c>
      <c r="C110" s="3" t="s">
        <v>76</v>
      </c>
      <c r="D110" s="3" t="s">
        <v>186</v>
      </c>
      <c r="E110" s="11">
        <v>44943.364583333336</v>
      </c>
      <c r="F110" s="11">
        <v>44943.385416666664</v>
      </c>
      <c r="G110" s="13">
        <f t="shared" si="16"/>
        <v>0.49999999988358468</v>
      </c>
      <c r="H110" t="s">
        <v>9</v>
      </c>
    </row>
    <row r="111" spans="1:8" hidden="1" x14ac:dyDescent="0.35">
      <c r="A111" t="s">
        <v>169</v>
      </c>
      <c r="B111" s="4" t="s">
        <v>77</v>
      </c>
      <c r="C111" s="3" t="s">
        <v>98</v>
      </c>
      <c r="D111" s="3" t="s">
        <v>186</v>
      </c>
      <c r="E111" s="11">
        <v>44944.395833333336</v>
      </c>
      <c r="F111" s="11">
        <v>44944.416666666664</v>
      </c>
      <c r="G111" s="13">
        <f t="shared" si="16"/>
        <v>0.49999999988358468</v>
      </c>
      <c r="H111" t="s">
        <v>49</v>
      </c>
    </row>
    <row r="112" spans="1:8" hidden="1" x14ac:dyDescent="0.35">
      <c r="A112" t="s">
        <v>169</v>
      </c>
      <c r="B112" t="s">
        <v>77</v>
      </c>
      <c r="C112" t="s">
        <v>88</v>
      </c>
      <c r="D112" t="s">
        <v>186</v>
      </c>
      <c r="E112" s="11">
        <v>44943.645833333336</v>
      </c>
      <c r="F112" s="11">
        <v>44943.666666666664</v>
      </c>
      <c r="G112" s="13">
        <f t="shared" si="16"/>
        <v>0.49999999988358468</v>
      </c>
      <c r="H112" t="s">
        <v>46</v>
      </c>
    </row>
    <row r="113" spans="1:8" hidden="1" x14ac:dyDescent="0.35">
      <c r="A113" t="s">
        <v>169</v>
      </c>
      <c r="B113" t="s">
        <v>80</v>
      </c>
      <c r="C113" t="s">
        <v>172</v>
      </c>
      <c r="D113" t="s">
        <v>186</v>
      </c>
      <c r="E113" s="11">
        <v>44943.416666666664</v>
      </c>
      <c r="F113" s="11">
        <v>44943.479166666664</v>
      </c>
      <c r="G113" s="13">
        <f t="shared" si="16"/>
        <v>1.5</v>
      </c>
      <c r="H113" t="s">
        <v>139</v>
      </c>
    </row>
    <row r="114" spans="1:8" x14ac:dyDescent="0.35">
      <c r="A114" t="s">
        <v>107</v>
      </c>
      <c r="B114" t="s">
        <v>80</v>
      </c>
      <c r="C114" t="s">
        <v>171</v>
      </c>
      <c r="E114" s="11">
        <v>44931.708333333336</v>
      </c>
      <c r="F114" s="11">
        <v>44931.75</v>
      </c>
      <c r="G114" s="13">
        <f t="shared" si="16"/>
        <v>0.99999999994179234</v>
      </c>
      <c r="H114" t="s">
        <v>124</v>
      </c>
    </row>
    <row r="115" spans="1:8" hidden="1" x14ac:dyDescent="0.35">
      <c r="A115" t="s">
        <v>169</v>
      </c>
      <c r="B115" s="4" t="s">
        <v>85</v>
      </c>
      <c r="C115" s="3" t="s">
        <v>89</v>
      </c>
      <c r="D115" s="3" t="s">
        <v>186</v>
      </c>
      <c r="E115" s="11">
        <v>44943.479166666664</v>
      </c>
      <c r="F115" s="11">
        <v>44943.5</v>
      </c>
      <c r="G115" s="13">
        <f t="shared" si="16"/>
        <v>0.50000000005820766</v>
      </c>
      <c r="H115" t="s">
        <v>12</v>
      </c>
    </row>
    <row r="116" spans="1:8" hidden="1" x14ac:dyDescent="0.35">
      <c r="B116" t="s">
        <v>108</v>
      </c>
      <c r="C116" t="s">
        <v>108</v>
      </c>
      <c r="E116" s="11">
        <v>44943.479166666664</v>
      </c>
      <c r="F116" s="11">
        <v>44943.5</v>
      </c>
      <c r="G116">
        <v>5</v>
      </c>
      <c r="H116" t="s">
        <v>115</v>
      </c>
    </row>
    <row r="117" spans="1:8" hidden="1" x14ac:dyDescent="0.35">
      <c r="B117" t="s">
        <v>108</v>
      </c>
      <c r="C117" t="s">
        <v>108</v>
      </c>
      <c r="E117" s="11">
        <v>44943.5</v>
      </c>
      <c r="F117" s="11">
        <v>44943.541666666664</v>
      </c>
      <c r="G117">
        <v>10</v>
      </c>
      <c r="H117" t="s">
        <v>111</v>
      </c>
    </row>
    <row r="118" spans="1:8" hidden="1" x14ac:dyDescent="0.35">
      <c r="B118" t="s">
        <v>108</v>
      </c>
      <c r="C118" t="s">
        <v>108</v>
      </c>
      <c r="E118" s="11">
        <v>44943.510416666664</v>
      </c>
      <c r="F118" s="11">
        <v>44943.552083333336</v>
      </c>
      <c r="G118">
        <v>10</v>
      </c>
      <c r="H118" t="s">
        <v>116</v>
      </c>
    </row>
    <row r="119" spans="1:8" hidden="1" x14ac:dyDescent="0.35">
      <c r="A119" t="s">
        <v>107</v>
      </c>
      <c r="B119" t="s">
        <v>80</v>
      </c>
      <c r="C119" t="s">
        <v>171</v>
      </c>
      <c r="D119" t="s">
        <v>186</v>
      </c>
      <c r="E119" s="11">
        <v>44945.625</v>
      </c>
      <c r="F119" s="11">
        <v>44945.666666666664</v>
      </c>
      <c r="G119" s="13">
        <f t="shared" ref="G119:G129" si="17">(F119-E119)*24</f>
        <v>0.99999999994179234</v>
      </c>
      <c r="H119" t="s">
        <v>147</v>
      </c>
    </row>
    <row r="120" spans="1:8" hidden="1" x14ac:dyDescent="0.35">
      <c r="A120" t="s">
        <v>169</v>
      </c>
      <c r="B120" s="4" t="s">
        <v>77</v>
      </c>
      <c r="C120" s="3" t="s">
        <v>95</v>
      </c>
      <c r="D120" s="3" t="s">
        <v>186</v>
      </c>
      <c r="E120" s="11">
        <v>44943.5625</v>
      </c>
      <c r="F120" s="11">
        <v>44943.583333333336</v>
      </c>
      <c r="G120" s="13">
        <f t="shared" si="17"/>
        <v>0.50000000005820766</v>
      </c>
      <c r="H120" t="s">
        <v>33</v>
      </c>
    </row>
    <row r="121" spans="1:8" hidden="1" x14ac:dyDescent="0.35">
      <c r="A121" t="s">
        <v>169</v>
      </c>
      <c r="B121" s="4" t="s">
        <v>77</v>
      </c>
      <c r="C121" s="3" t="s">
        <v>90</v>
      </c>
      <c r="D121" t="s">
        <v>186</v>
      </c>
      <c r="E121" s="11">
        <v>44943.583333333336</v>
      </c>
      <c r="F121" s="11">
        <v>44943.645833333336</v>
      </c>
      <c r="G121" s="13">
        <f t="shared" si="17"/>
        <v>1.5</v>
      </c>
      <c r="H121" t="s">
        <v>140</v>
      </c>
    </row>
    <row r="122" spans="1:8" hidden="1" x14ac:dyDescent="0.35">
      <c r="A122" t="s">
        <v>107</v>
      </c>
      <c r="B122" t="s">
        <v>80</v>
      </c>
      <c r="C122" t="s">
        <v>173</v>
      </c>
      <c r="D122" t="s">
        <v>186</v>
      </c>
      <c r="E122" s="11">
        <v>44957.666666666664</v>
      </c>
      <c r="F122" s="11">
        <v>44957.708333333336</v>
      </c>
      <c r="G122" s="13">
        <f t="shared" si="17"/>
        <v>1.0000000001164153</v>
      </c>
      <c r="H122" t="s">
        <v>73</v>
      </c>
    </row>
    <row r="123" spans="1:8" x14ac:dyDescent="0.35">
      <c r="A123" t="s">
        <v>107</v>
      </c>
      <c r="B123" t="s">
        <v>80</v>
      </c>
      <c r="C123" t="s">
        <v>171</v>
      </c>
      <c r="E123" s="11">
        <v>44938.666666666664</v>
      </c>
      <c r="F123" s="11">
        <v>44938.708333333336</v>
      </c>
      <c r="G123" s="13">
        <f t="shared" si="17"/>
        <v>1.0000000001164153</v>
      </c>
      <c r="H123" t="s">
        <v>134</v>
      </c>
    </row>
    <row r="124" spans="1:8" hidden="1" x14ac:dyDescent="0.35">
      <c r="A124" t="s">
        <v>170</v>
      </c>
      <c r="B124" t="s">
        <v>175</v>
      </c>
      <c r="D124" t="s">
        <v>186</v>
      </c>
      <c r="E124" s="11">
        <v>44937.666666666664</v>
      </c>
      <c r="F124" s="11">
        <v>44937.708333333336</v>
      </c>
      <c r="G124" s="13">
        <f t="shared" si="17"/>
        <v>1.0000000001164153</v>
      </c>
      <c r="H124" t="s">
        <v>133</v>
      </c>
    </row>
    <row r="125" spans="1:8" hidden="1" x14ac:dyDescent="0.35">
      <c r="A125" t="s">
        <v>169</v>
      </c>
      <c r="B125" s="4" t="s">
        <v>77</v>
      </c>
      <c r="C125" s="3" t="s">
        <v>76</v>
      </c>
      <c r="D125" s="3" t="s">
        <v>186</v>
      </c>
      <c r="E125" s="11">
        <v>44944.364583333336</v>
      </c>
      <c r="F125" s="11">
        <v>44944.385416666664</v>
      </c>
      <c r="G125" s="13">
        <f t="shared" si="17"/>
        <v>0.49999999988358468</v>
      </c>
      <c r="H125" t="s">
        <v>9</v>
      </c>
    </row>
    <row r="126" spans="1:8" hidden="1" x14ac:dyDescent="0.35">
      <c r="A126" t="s">
        <v>169</v>
      </c>
      <c r="B126" t="s">
        <v>80</v>
      </c>
      <c r="C126" t="s">
        <v>173</v>
      </c>
      <c r="D126" t="s">
        <v>186</v>
      </c>
      <c r="E126" s="11">
        <v>44950.625</v>
      </c>
      <c r="F126" s="11">
        <v>44950.65625</v>
      </c>
      <c r="G126" s="13">
        <f t="shared" si="17"/>
        <v>0.75</v>
      </c>
      <c r="H126" t="s">
        <v>154</v>
      </c>
    </row>
    <row r="127" spans="1:8" hidden="1" x14ac:dyDescent="0.35">
      <c r="A127" t="s">
        <v>169</v>
      </c>
      <c r="B127" t="s">
        <v>80</v>
      </c>
      <c r="C127" t="s">
        <v>173</v>
      </c>
      <c r="D127" t="s">
        <v>186</v>
      </c>
      <c r="E127" s="11">
        <v>44950.625</v>
      </c>
      <c r="F127" s="11">
        <v>44950.65625</v>
      </c>
      <c r="G127" s="13">
        <f t="shared" si="17"/>
        <v>0.75</v>
      </c>
      <c r="H127" t="s">
        <v>154</v>
      </c>
    </row>
    <row r="128" spans="1:8" hidden="1" x14ac:dyDescent="0.35">
      <c r="A128" t="s">
        <v>169</v>
      </c>
      <c r="B128" t="s">
        <v>80</v>
      </c>
      <c r="C128" t="s">
        <v>172</v>
      </c>
      <c r="D128" t="s">
        <v>186</v>
      </c>
      <c r="E128" s="11">
        <v>44944.458333333336</v>
      </c>
      <c r="F128" s="11">
        <v>44944.479166666664</v>
      </c>
      <c r="G128" s="13">
        <f t="shared" si="17"/>
        <v>0.49999999988358468</v>
      </c>
      <c r="H128" t="s">
        <v>14</v>
      </c>
    </row>
    <row r="129" spans="1:8" hidden="1" x14ac:dyDescent="0.35">
      <c r="A129" t="s">
        <v>169</v>
      </c>
      <c r="B129" s="4" t="s">
        <v>85</v>
      </c>
      <c r="C129" s="3" t="s">
        <v>89</v>
      </c>
      <c r="D129" s="3" t="s">
        <v>186</v>
      </c>
      <c r="E129" s="11">
        <v>44944.479166666664</v>
      </c>
      <c r="F129" s="11">
        <v>44944.5</v>
      </c>
      <c r="G129" s="13">
        <f t="shared" si="17"/>
        <v>0.50000000005820766</v>
      </c>
      <c r="H129" t="s">
        <v>113</v>
      </c>
    </row>
    <row r="130" spans="1:8" hidden="1" x14ac:dyDescent="0.35">
      <c r="B130" t="s">
        <v>108</v>
      </c>
      <c r="C130" t="s">
        <v>108</v>
      </c>
      <c r="E130" s="11">
        <v>44944.479166666664</v>
      </c>
      <c r="F130" s="11">
        <v>44944.5</v>
      </c>
      <c r="G130">
        <v>5</v>
      </c>
      <c r="H130" t="s">
        <v>115</v>
      </c>
    </row>
    <row r="131" spans="1:8" hidden="1" x14ac:dyDescent="0.35">
      <c r="B131" t="s">
        <v>108</v>
      </c>
      <c r="C131" t="s">
        <v>108</v>
      </c>
      <c r="E131" s="11">
        <v>44944.479166666664</v>
      </c>
      <c r="F131" s="11">
        <v>44944.5</v>
      </c>
      <c r="G131">
        <v>5</v>
      </c>
      <c r="H131" t="s">
        <v>15</v>
      </c>
    </row>
    <row r="132" spans="1:8" hidden="1" x14ac:dyDescent="0.35">
      <c r="B132" t="s">
        <v>108</v>
      </c>
      <c r="C132" t="s">
        <v>108</v>
      </c>
      <c r="E132" s="11">
        <v>44944.5</v>
      </c>
      <c r="F132" s="11">
        <v>44944.541666666664</v>
      </c>
      <c r="G132">
        <v>10</v>
      </c>
      <c r="H132" t="s">
        <v>111</v>
      </c>
    </row>
    <row r="133" spans="1:8" hidden="1" x14ac:dyDescent="0.35">
      <c r="A133" t="s">
        <v>107</v>
      </c>
      <c r="B133" t="s">
        <v>175</v>
      </c>
      <c r="D133" t="s">
        <v>186</v>
      </c>
      <c r="E133" s="11">
        <v>44951.5</v>
      </c>
      <c r="F133" s="11">
        <v>44951.541666666664</v>
      </c>
      <c r="G133" s="13">
        <f t="shared" ref="G133:G142" si="18">(F133-E133)*24</f>
        <v>0.99999999994179234</v>
      </c>
      <c r="H133" t="s">
        <v>64</v>
      </c>
    </row>
    <row r="134" spans="1:8" hidden="1" x14ac:dyDescent="0.35">
      <c r="A134" t="s">
        <v>107</v>
      </c>
      <c r="B134" t="s">
        <v>175</v>
      </c>
      <c r="D134" t="s">
        <v>186</v>
      </c>
      <c r="E134" s="11">
        <v>44953.4375</v>
      </c>
      <c r="F134" s="11">
        <v>44953.479166666664</v>
      </c>
      <c r="G134" s="13">
        <f t="shared" si="18"/>
        <v>0.99999999994179234</v>
      </c>
      <c r="H134" t="s">
        <v>161</v>
      </c>
    </row>
    <row r="135" spans="1:8" hidden="1" x14ac:dyDescent="0.35">
      <c r="A135" t="s">
        <v>107</v>
      </c>
      <c r="B135" t="s">
        <v>175</v>
      </c>
      <c r="D135" t="s">
        <v>186</v>
      </c>
      <c r="E135" s="11">
        <v>44942.458333333336</v>
      </c>
      <c r="F135" s="11">
        <v>44942.5</v>
      </c>
      <c r="G135" s="13">
        <f t="shared" si="18"/>
        <v>0.99999999994179234</v>
      </c>
      <c r="H135" t="s">
        <v>41</v>
      </c>
    </row>
    <row r="136" spans="1:8" hidden="1" x14ac:dyDescent="0.35">
      <c r="A136" t="s">
        <v>169</v>
      </c>
      <c r="B136" s="4" t="s">
        <v>77</v>
      </c>
      <c r="C136" s="3" t="s">
        <v>98</v>
      </c>
      <c r="D136" s="3" t="s">
        <v>186</v>
      </c>
      <c r="E136" s="11">
        <v>44957.4375</v>
      </c>
      <c r="F136" s="11">
        <v>44957.479166666664</v>
      </c>
      <c r="G136" s="13">
        <f t="shared" si="18"/>
        <v>0.99999999994179234</v>
      </c>
      <c r="H136" t="s">
        <v>167</v>
      </c>
    </row>
    <row r="137" spans="1:8" hidden="1" x14ac:dyDescent="0.35">
      <c r="A137" t="s">
        <v>169</v>
      </c>
      <c r="B137" s="4" t="s">
        <v>85</v>
      </c>
      <c r="C137" s="3" t="s">
        <v>89</v>
      </c>
      <c r="D137" s="3" t="s">
        <v>186</v>
      </c>
      <c r="E137" s="11">
        <v>44944.6875</v>
      </c>
      <c r="F137" s="11">
        <v>44944.708333333336</v>
      </c>
      <c r="G137" s="13">
        <f t="shared" si="18"/>
        <v>0.50000000005820766</v>
      </c>
      <c r="H137" t="s">
        <v>16</v>
      </c>
    </row>
    <row r="138" spans="1:8" hidden="1" x14ac:dyDescent="0.35">
      <c r="A138" t="s">
        <v>169</v>
      </c>
      <c r="B138" s="4" t="s">
        <v>77</v>
      </c>
      <c r="C138" s="3" t="s">
        <v>98</v>
      </c>
      <c r="D138" s="3" t="s">
        <v>186</v>
      </c>
      <c r="E138" s="11">
        <v>44944.6875</v>
      </c>
      <c r="F138" s="11">
        <v>44944.708333333336</v>
      </c>
      <c r="G138" s="13">
        <f t="shared" si="18"/>
        <v>0.50000000005820766</v>
      </c>
      <c r="H138" t="s">
        <v>144</v>
      </c>
    </row>
    <row r="139" spans="1:8" hidden="1" x14ac:dyDescent="0.35">
      <c r="A139" t="s">
        <v>169</v>
      </c>
      <c r="B139" s="4" t="s">
        <v>77</v>
      </c>
      <c r="C139" s="3" t="s">
        <v>76</v>
      </c>
      <c r="D139" s="3" t="s">
        <v>186</v>
      </c>
      <c r="E139" s="11">
        <v>44945.364583333336</v>
      </c>
      <c r="F139" s="11">
        <v>44945.385416666664</v>
      </c>
      <c r="G139" s="13">
        <f t="shared" si="18"/>
        <v>0.49999999988358468</v>
      </c>
      <c r="H139" t="s">
        <v>9</v>
      </c>
    </row>
    <row r="140" spans="1:8" hidden="1" x14ac:dyDescent="0.35">
      <c r="A140" t="s">
        <v>170</v>
      </c>
      <c r="B140" s="4" t="s">
        <v>175</v>
      </c>
      <c r="C140" s="3"/>
      <c r="D140" s="3" t="s">
        <v>186</v>
      </c>
      <c r="E140" s="11">
        <v>44931.416666666664</v>
      </c>
      <c r="F140" s="11">
        <v>44931.447916666664</v>
      </c>
      <c r="G140" s="13">
        <f t="shared" si="18"/>
        <v>0.75</v>
      </c>
      <c r="H140" t="s">
        <v>119</v>
      </c>
    </row>
    <row r="141" spans="1:8" hidden="1" x14ac:dyDescent="0.35">
      <c r="A141" t="s">
        <v>107</v>
      </c>
      <c r="B141" t="s">
        <v>175</v>
      </c>
      <c r="D141" t="s">
        <v>186</v>
      </c>
      <c r="E141" s="11">
        <v>44957.708333333336</v>
      </c>
      <c r="F141" s="11">
        <v>44957.729166666664</v>
      </c>
      <c r="G141" s="13">
        <f t="shared" si="18"/>
        <v>0.49999999988358468</v>
      </c>
      <c r="H141" t="s">
        <v>75</v>
      </c>
    </row>
    <row r="142" spans="1:8" hidden="1" x14ac:dyDescent="0.35">
      <c r="A142" t="s">
        <v>107</v>
      </c>
      <c r="B142" t="s">
        <v>175</v>
      </c>
      <c r="D142" t="s">
        <v>186</v>
      </c>
      <c r="E142" s="11">
        <v>44952.708333333336</v>
      </c>
      <c r="F142" s="11">
        <v>44952.729166666664</v>
      </c>
      <c r="G142" s="13">
        <f t="shared" si="18"/>
        <v>0.49999999988358468</v>
      </c>
      <c r="H142" t="s">
        <v>160</v>
      </c>
    </row>
    <row r="143" spans="1:8" hidden="1" x14ac:dyDescent="0.35">
      <c r="A143" t="s">
        <v>169</v>
      </c>
      <c r="B143" s="9" t="s">
        <v>108</v>
      </c>
      <c r="C143" s="3" t="s">
        <v>108</v>
      </c>
      <c r="D143" s="3"/>
      <c r="E143" s="11">
        <v>44945.458333333336</v>
      </c>
      <c r="F143" s="11">
        <v>44945.5</v>
      </c>
      <c r="G143" s="10">
        <f t="shared" ref="G143" si="19">F143-E143</f>
        <v>4.1666666664241347E-2</v>
      </c>
      <c r="H143" t="s">
        <v>146</v>
      </c>
    </row>
    <row r="144" spans="1:8" hidden="1" x14ac:dyDescent="0.35">
      <c r="B144" t="s">
        <v>108</v>
      </c>
      <c r="C144" t="s">
        <v>108</v>
      </c>
      <c r="E144" s="11">
        <v>44945.479166666664</v>
      </c>
      <c r="F144" s="11">
        <v>44945.5</v>
      </c>
      <c r="G144">
        <v>5</v>
      </c>
      <c r="H144" t="s">
        <v>115</v>
      </c>
    </row>
    <row r="145" spans="1:8" hidden="1" x14ac:dyDescent="0.35">
      <c r="B145" t="s">
        <v>108</v>
      </c>
      <c r="C145" t="s">
        <v>108</v>
      </c>
      <c r="E145" s="11">
        <v>44945.5</v>
      </c>
      <c r="F145" s="11">
        <v>44945.541666666664</v>
      </c>
      <c r="G145">
        <v>10</v>
      </c>
      <c r="H145" t="s">
        <v>111</v>
      </c>
    </row>
    <row r="146" spans="1:8" hidden="1" x14ac:dyDescent="0.35">
      <c r="B146" t="s">
        <v>108</v>
      </c>
      <c r="C146" t="s">
        <v>108</v>
      </c>
      <c r="E146" s="11">
        <v>44945.510416666664</v>
      </c>
      <c r="F146" s="11">
        <v>44945.552083333336</v>
      </c>
      <c r="G146">
        <v>10</v>
      </c>
      <c r="H146" t="s">
        <v>116</v>
      </c>
    </row>
    <row r="147" spans="1:8" hidden="1" x14ac:dyDescent="0.35">
      <c r="A147" t="s">
        <v>107</v>
      </c>
      <c r="B147" t="s">
        <v>175</v>
      </c>
      <c r="D147" t="s">
        <v>186</v>
      </c>
      <c r="E147" s="11">
        <v>44939.729166666664</v>
      </c>
      <c r="F147" s="11">
        <v>44939.791666666664</v>
      </c>
      <c r="G147" s="13">
        <f t="shared" ref="G147:G154" si="20">(F147-E147)*24</f>
        <v>1.5</v>
      </c>
      <c r="H147" t="s">
        <v>135</v>
      </c>
    </row>
    <row r="148" spans="1:8" hidden="1" x14ac:dyDescent="0.35">
      <c r="A148" t="s">
        <v>170</v>
      </c>
      <c r="B148" t="s">
        <v>175</v>
      </c>
      <c r="E148" s="11">
        <v>44957.666666666664</v>
      </c>
      <c r="F148" s="11">
        <v>44957.708333333336</v>
      </c>
      <c r="G148" s="13">
        <f t="shared" si="20"/>
        <v>1.0000000001164153</v>
      </c>
      <c r="H148" t="s">
        <v>74</v>
      </c>
    </row>
    <row r="149" spans="1:8" hidden="1" x14ac:dyDescent="0.35">
      <c r="A149" t="s">
        <v>169</v>
      </c>
      <c r="B149" t="s">
        <v>80</v>
      </c>
      <c r="C149" t="s">
        <v>173</v>
      </c>
      <c r="D149" t="s">
        <v>186</v>
      </c>
      <c r="E149" s="11">
        <v>44945.666666666664</v>
      </c>
      <c r="F149" s="11">
        <v>44945.708333333336</v>
      </c>
      <c r="G149" s="13">
        <f t="shared" si="20"/>
        <v>1.0000000001164153</v>
      </c>
      <c r="H149" t="s">
        <v>17</v>
      </c>
    </row>
    <row r="150" spans="1:8" hidden="1" x14ac:dyDescent="0.35">
      <c r="A150" t="s">
        <v>107</v>
      </c>
      <c r="B150" t="s">
        <v>175</v>
      </c>
      <c r="D150" t="s">
        <v>186</v>
      </c>
      <c r="E150" s="11">
        <v>44943.708333333336</v>
      </c>
      <c r="F150" s="11">
        <v>44943.75</v>
      </c>
      <c r="G150" s="13">
        <f t="shared" si="20"/>
        <v>0.99999999994179234</v>
      </c>
      <c r="H150" t="s">
        <v>48</v>
      </c>
    </row>
    <row r="151" spans="1:8" hidden="1" x14ac:dyDescent="0.35">
      <c r="A151" t="s">
        <v>169</v>
      </c>
      <c r="B151" s="4" t="s">
        <v>85</v>
      </c>
      <c r="C151" s="3" t="s">
        <v>85</v>
      </c>
      <c r="D151" s="3" t="s">
        <v>186</v>
      </c>
      <c r="E151" s="11">
        <v>44946.375</v>
      </c>
      <c r="F151" s="11">
        <v>44946.458333333336</v>
      </c>
      <c r="G151" s="13">
        <f t="shared" si="20"/>
        <v>2.0000000000582077</v>
      </c>
      <c r="H151" t="s">
        <v>148</v>
      </c>
    </row>
    <row r="152" spans="1:8" hidden="1" x14ac:dyDescent="0.35">
      <c r="A152" t="s">
        <v>107</v>
      </c>
      <c r="B152" t="s">
        <v>175</v>
      </c>
      <c r="D152" t="s">
        <v>186</v>
      </c>
      <c r="E152" s="11">
        <v>44944.541666666664</v>
      </c>
      <c r="F152" s="11">
        <v>44944.583333333336</v>
      </c>
      <c r="G152" s="13">
        <f t="shared" si="20"/>
        <v>1.0000000001164153</v>
      </c>
      <c r="H152" t="s">
        <v>50</v>
      </c>
    </row>
    <row r="153" spans="1:8" hidden="1" x14ac:dyDescent="0.35">
      <c r="A153" t="s">
        <v>107</v>
      </c>
      <c r="B153" t="s">
        <v>175</v>
      </c>
      <c r="D153" t="s">
        <v>186</v>
      </c>
      <c r="E153" s="11">
        <v>44944.666666666664</v>
      </c>
      <c r="F153" s="11">
        <v>44944.6875</v>
      </c>
      <c r="G153" s="13">
        <f t="shared" si="20"/>
        <v>0.50000000005820766</v>
      </c>
      <c r="H153" t="s">
        <v>50</v>
      </c>
    </row>
    <row r="154" spans="1:8" hidden="1" x14ac:dyDescent="0.35">
      <c r="A154" t="s">
        <v>169</v>
      </c>
      <c r="B154" t="s">
        <v>87</v>
      </c>
      <c r="C154" t="s">
        <v>179</v>
      </c>
      <c r="D154" t="s">
        <v>186</v>
      </c>
      <c r="E154" s="11">
        <v>44946.458333333336</v>
      </c>
      <c r="F154" s="11">
        <v>44946.5</v>
      </c>
      <c r="G154" s="13">
        <f t="shared" si="20"/>
        <v>0.99999999994179234</v>
      </c>
      <c r="H154" t="s">
        <v>56</v>
      </c>
    </row>
    <row r="155" spans="1:8" hidden="1" x14ac:dyDescent="0.35">
      <c r="B155" t="s">
        <v>108</v>
      </c>
      <c r="C155" t="s">
        <v>108</v>
      </c>
      <c r="E155" s="11">
        <v>44946.479166666664</v>
      </c>
      <c r="F155" s="11">
        <v>44946.5</v>
      </c>
      <c r="G155">
        <v>5</v>
      </c>
      <c r="H155" t="s">
        <v>115</v>
      </c>
    </row>
    <row r="156" spans="1:8" hidden="1" x14ac:dyDescent="0.35">
      <c r="B156" t="s">
        <v>108</v>
      </c>
      <c r="C156" t="s">
        <v>108</v>
      </c>
      <c r="E156" s="11">
        <v>44946.5</v>
      </c>
      <c r="F156" s="11">
        <v>44946.541666666664</v>
      </c>
      <c r="G156">
        <v>10</v>
      </c>
      <c r="H156" t="s">
        <v>111</v>
      </c>
    </row>
    <row r="157" spans="1:8" hidden="1" x14ac:dyDescent="0.35">
      <c r="A157" t="s">
        <v>169</v>
      </c>
      <c r="B157" t="s">
        <v>77</v>
      </c>
      <c r="C157" t="s">
        <v>88</v>
      </c>
      <c r="D157" t="s">
        <v>186</v>
      </c>
      <c r="E157" s="11">
        <v>44946.5625</v>
      </c>
      <c r="F157" s="11">
        <v>44946.625</v>
      </c>
      <c r="G157" s="13">
        <f t="shared" ref="G157:G158" si="21">(F157-E157)*24</f>
        <v>1.5</v>
      </c>
      <c r="H157" t="s">
        <v>149</v>
      </c>
    </row>
    <row r="158" spans="1:8" hidden="1" x14ac:dyDescent="0.35">
      <c r="A158" t="s">
        <v>170</v>
      </c>
      <c r="B158" t="s">
        <v>175</v>
      </c>
      <c r="D158" t="s">
        <v>187</v>
      </c>
      <c r="E158" s="11">
        <v>44945.416666666664</v>
      </c>
      <c r="F158" s="11">
        <v>44945.5</v>
      </c>
      <c r="G158" s="13">
        <f t="shared" si="21"/>
        <v>2.0000000000582077</v>
      </c>
      <c r="H158" t="s">
        <v>145</v>
      </c>
    </row>
    <row r="159" spans="1:8" hidden="1" x14ac:dyDescent="0.35">
      <c r="B159" t="s">
        <v>108</v>
      </c>
      <c r="C159" t="s">
        <v>108</v>
      </c>
      <c r="E159" s="11">
        <v>44946.666666666664</v>
      </c>
      <c r="F159" s="11">
        <v>44946.6875</v>
      </c>
      <c r="G159">
        <v>5</v>
      </c>
      <c r="H159" t="s">
        <v>24</v>
      </c>
    </row>
    <row r="160" spans="1:8" hidden="1" x14ac:dyDescent="0.35">
      <c r="B160" t="s">
        <v>108</v>
      </c>
      <c r="C160" t="s">
        <v>108</v>
      </c>
      <c r="E160" s="11">
        <v>44947.479166666664</v>
      </c>
      <c r="F160" s="11">
        <v>44947.5</v>
      </c>
      <c r="G160">
        <v>5</v>
      </c>
      <c r="H160" t="s">
        <v>115</v>
      </c>
    </row>
    <row r="161" spans="1:8" hidden="1" x14ac:dyDescent="0.35">
      <c r="B161" t="s">
        <v>108</v>
      </c>
      <c r="C161" t="s">
        <v>108</v>
      </c>
      <c r="E161" s="11">
        <v>44948.479166666664</v>
      </c>
      <c r="F161" s="11">
        <v>44948.5</v>
      </c>
      <c r="G161">
        <v>5</v>
      </c>
      <c r="H161" t="s">
        <v>115</v>
      </c>
    </row>
    <row r="162" spans="1:8" hidden="1" x14ac:dyDescent="0.35">
      <c r="A162" t="s">
        <v>169</v>
      </c>
      <c r="B162" s="4" t="s">
        <v>77</v>
      </c>
      <c r="C162" s="3" t="s">
        <v>76</v>
      </c>
      <c r="D162" s="3" t="s">
        <v>186</v>
      </c>
      <c r="E162" s="11">
        <v>44949.364583333336</v>
      </c>
      <c r="F162" s="11">
        <v>44949.385416666664</v>
      </c>
      <c r="G162" s="13">
        <f t="shared" ref="G162:G164" si="22">(F162-E162)*24</f>
        <v>0.49999999988358468</v>
      </c>
      <c r="H162" t="s">
        <v>9</v>
      </c>
    </row>
    <row r="163" spans="1:8" hidden="1" x14ac:dyDescent="0.35">
      <c r="A163" t="s">
        <v>170</v>
      </c>
      <c r="B163" t="s">
        <v>80</v>
      </c>
      <c r="C163" t="s">
        <v>173</v>
      </c>
      <c r="D163" t="s">
        <v>186</v>
      </c>
      <c r="E163" s="11">
        <v>44935.583333333336</v>
      </c>
      <c r="F163" s="11">
        <v>44935.625</v>
      </c>
      <c r="G163" s="13">
        <f t="shared" si="22"/>
        <v>0.99999999994179234</v>
      </c>
      <c r="H163" t="s">
        <v>23</v>
      </c>
    </row>
    <row r="164" spans="1:8" hidden="1" x14ac:dyDescent="0.35">
      <c r="A164" t="s">
        <v>169</v>
      </c>
      <c r="B164" s="4" t="s">
        <v>77</v>
      </c>
      <c r="C164" s="3" t="s">
        <v>98</v>
      </c>
      <c r="D164" s="3" t="s">
        <v>186</v>
      </c>
      <c r="E164" s="11">
        <v>44943.375</v>
      </c>
      <c r="F164" s="11">
        <v>44943.416666666664</v>
      </c>
      <c r="G164" s="13">
        <f t="shared" si="22"/>
        <v>0.99999999994179234</v>
      </c>
      <c r="H164" t="s">
        <v>137</v>
      </c>
    </row>
    <row r="165" spans="1:8" hidden="1" x14ac:dyDescent="0.35">
      <c r="B165" t="s">
        <v>108</v>
      </c>
      <c r="C165" t="s">
        <v>108</v>
      </c>
      <c r="E165" s="11">
        <v>44949.479166666664</v>
      </c>
      <c r="F165" s="11">
        <v>44949.5</v>
      </c>
      <c r="G165">
        <v>5</v>
      </c>
      <c r="H165" t="s">
        <v>115</v>
      </c>
    </row>
    <row r="166" spans="1:8" hidden="1" x14ac:dyDescent="0.35">
      <c r="B166" t="s">
        <v>108</v>
      </c>
      <c r="C166" t="s">
        <v>108</v>
      </c>
      <c r="E166" s="11">
        <v>44949.5</v>
      </c>
      <c r="F166" s="11">
        <v>44949.5625</v>
      </c>
      <c r="G166">
        <v>15</v>
      </c>
      <c r="H166" t="s">
        <v>111</v>
      </c>
    </row>
    <row r="167" spans="1:8" hidden="1" x14ac:dyDescent="0.35">
      <c r="A167" t="s">
        <v>169</v>
      </c>
      <c r="B167" t="s">
        <v>175</v>
      </c>
      <c r="E167" s="11">
        <v>44946.427083333336</v>
      </c>
      <c r="F167" s="11">
        <v>44946.5</v>
      </c>
      <c r="G167" s="13">
        <f t="shared" ref="G167:G176" si="23">(F167-E167)*24</f>
        <v>1.7499999999417923</v>
      </c>
      <c r="H167" t="s">
        <v>55</v>
      </c>
    </row>
    <row r="168" spans="1:8" hidden="1" x14ac:dyDescent="0.35">
      <c r="A168" t="s">
        <v>169</v>
      </c>
      <c r="B168" s="4" t="s">
        <v>85</v>
      </c>
      <c r="C168" s="3" t="s">
        <v>92</v>
      </c>
      <c r="D168" s="3" t="s">
        <v>186</v>
      </c>
      <c r="E168" s="11">
        <v>44949.625</v>
      </c>
      <c r="F168" s="11">
        <v>44949.666666666664</v>
      </c>
      <c r="G168" s="13">
        <f t="shared" si="23"/>
        <v>0.99999999994179234</v>
      </c>
      <c r="H168" t="s">
        <v>112</v>
      </c>
    </row>
    <row r="169" spans="1:8" hidden="1" x14ac:dyDescent="0.35">
      <c r="A169" t="s">
        <v>169</v>
      </c>
      <c r="B169" s="4" t="s">
        <v>85</v>
      </c>
      <c r="C169" s="3" t="s">
        <v>89</v>
      </c>
      <c r="D169" s="3" t="s">
        <v>186</v>
      </c>
      <c r="E169" s="11">
        <v>44949.666666666664</v>
      </c>
      <c r="F169" s="11">
        <v>44949.708333333336</v>
      </c>
      <c r="G169" s="13">
        <f t="shared" si="23"/>
        <v>1.0000000001164153</v>
      </c>
      <c r="H169" t="s">
        <v>16</v>
      </c>
    </row>
    <row r="170" spans="1:8" hidden="1" x14ac:dyDescent="0.35">
      <c r="A170" t="s">
        <v>107</v>
      </c>
      <c r="B170" t="s">
        <v>175</v>
      </c>
      <c r="D170" t="s">
        <v>186</v>
      </c>
      <c r="E170" s="11">
        <v>44951.395833333336</v>
      </c>
      <c r="F170" s="11">
        <v>44951.458333333336</v>
      </c>
      <c r="G170" s="13">
        <f t="shared" si="23"/>
        <v>1.5</v>
      </c>
      <c r="H170" t="s">
        <v>157</v>
      </c>
    </row>
    <row r="171" spans="1:8" hidden="1" x14ac:dyDescent="0.35">
      <c r="A171" t="s">
        <v>169</v>
      </c>
      <c r="B171" t="s">
        <v>85</v>
      </c>
      <c r="C171" t="s">
        <v>89</v>
      </c>
      <c r="D171" s="3" t="s">
        <v>186</v>
      </c>
      <c r="E171" s="11">
        <v>44949.729166666664</v>
      </c>
      <c r="F171" s="11">
        <v>44949.739583333336</v>
      </c>
      <c r="G171" s="13">
        <f t="shared" si="23"/>
        <v>0.25000000011641532</v>
      </c>
      <c r="H171" t="s">
        <v>110</v>
      </c>
    </row>
    <row r="172" spans="1:8" hidden="1" x14ac:dyDescent="0.35">
      <c r="A172" t="s">
        <v>169</v>
      </c>
      <c r="B172" s="4" t="s">
        <v>77</v>
      </c>
      <c r="C172" s="3" t="s">
        <v>76</v>
      </c>
      <c r="D172" s="3" t="s">
        <v>186</v>
      </c>
      <c r="E172" s="11">
        <v>44950.364583333336</v>
      </c>
      <c r="F172" s="11">
        <v>44950.385416666664</v>
      </c>
      <c r="G172" s="13">
        <f t="shared" si="23"/>
        <v>0.49999999988358468</v>
      </c>
      <c r="H172" t="s">
        <v>9</v>
      </c>
    </row>
    <row r="173" spans="1:8" hidden="1" x14ac:dyDescent="0.35">
      <c r="A173" t="s">
        <v>169</v>
      </c>
      <c r="B173" s="4" t="s">
        <v>85</v>
      </c>
      <c r="C173" s="3" t="s">
        <v>89</v>
      </c>
      <c r="D173" s="3" t="s">
        <v>186</v>
      </c>
      <c r="E173" s="11">
        <v>44950.395833333336</v>
      </c>
      <c r="F173" s="11">
        <v>44950.416666666664</v>
      </c>
      <c r="G173" s="13">
        <f t="shared" si="23"/>
        <v>0.49999999988358468</v>
      </c>
      <c r="H173" t="s">
        <v>113</v>
      </c>
    </row>
    <row r="174" spans="1:8" hidden="1" x14ac:dyDescent="0.35">
      <c r="A174" t="s">
        <v>169</v>
      </c>
      <c r="B174" t="s">
        <v>77</v>
      </c>
      <c r="C174" t="s">
        <v>88</v>
      </c>
      <c r="D174" t="s">
        <v>186</v>
      </c>
      <c r="E174" s="11">
        <v>44950.395833333336</v>
      </c>
      <c r="F174" s="11">
        <v>44950.40625</v>
      </c>
      <c r="G174" s="13">
        <f t="shared" si="23"/>
        <v>0.24999999994179234</v>
      </c>
      <c r="H174" t="s">
        <v>152</v>
      </c>
    </row>
    <row r="175" spans="1:8" hidden="1" x14ac:dyDescent="0.35">
      <c r="A175" t="s">
        <v>170</v>
      </c>
      <c r="B175" t="s">
        <v>175</v>
      </c>
      <c r="D175" t="s">
        <v>186</v>
      </c>
      <c r="E175" s="11">
        <v>44950.645833333336</v>
      </c>
      <c r="F175" s="11">
        <v>44950.729166666664</v>
      </c>
      <c r="G175" s="13">
        <f t="shared" si="23"/>
        <v>1.9999999998835847</v>
      </c>
      <c r="H175" t="s">
        <v>155</v>
      </c>
    </row>
    <row r="176" spans="1:8" hidden="1" x14ac:dyDescent="0.35">
      <c r="A176" t="s">
        <v>170</v>
      </c>
      <c r="B176" t="s">
        <v>176</v>
      </c>
      <c r="D176" t="s">
        <v>186</v>
      </c>
      <c r="E176" s="11">
        <v>44938.416666666664</v>
      </c>
      <c r="F176" s="11">
        <v>44938.458333333336</v>
      </c>
      <c r="G176" s="13">
        <f t="shared" si="23"/>
        <v>1.0000000001164153</v>
      </c>
      <c r="H176" t="s">
        <v>32</v>
      </c>
    </row>
    <row r="177" spans="1:8" hidden="1" x14ac:dyDescent="0.35">
      <c r="B177" t="s">
        <v>108</v>
      </c>
      <c r="C177" t="s">
        <v>108</v>
      </c>
      <c r="E177" s="11">
        <v>44950.479166666664</v>
      </c>
      <c r="F177" s="11">
        <v>44950.5</v>
      </c>
      <c r="G177">
        <v>5</v>
      </c>
      <c r="H177" t="s">
        <v>115</v>
      </c>
    </row>
    <row r="178" spans="1:8" hidden="1" x14ac:dyDescent="0.35">
      <c r="B178" t="s">
        <v>108</v>
      </c>
      <c r="C178" t="s">
        <v>108</v>
      </c>
      <c r="E178" s="11">
        <v>44950.5</v>
      </c>
      <c r="F178" s="11">
        <v>44950.5625</v>
      </c>
      <c r="G178">
        <v>15</v>
      </c>
      <c r="H178" t="s">
        <v>111</v>
      </c>
    </row>
    <row r="179" spans="1:8" hidden="1" x14ac:dyDescent="0.35">
      <c r="B179" t="s">
        <v>108</v>
      </c>
      <c r="C179" t="s">
        <v>108</v>
      </c>
      <c r="E179" s="11">
        <v>44950.510416666664</v>
      </c>
      <c r="F179" s="11">
        <v>44950.552083333336</v>
      </c>
      <c r="G179">
        <v>10</v>
      </c>
      <c r="H179" t="s">
        <v>116</v>
      </c>
    </row>
    <row r="180" spans="1:8" hidden="1" x14ac:dyDescent="0.35">
      <c r="A180" t="s">
        <v>169</v>
      </c>
      <c r="B180" t="s">
        <v>80</v>
      </c>
      <c r="C180" t="s">
        <v>173</v>
      </c>
      <c r="D180" t="s">
        <v>186</v>
      </c>
      <c r="E180" s="11">
        <v>44935.4375</v>
      </c>
      <c r="F180" s="11">
        <v>44935.479166666664</v>
      </c>
      <c r="G180" s="13">
        <f t="shared" ref="G180:G191" si="24">(F180-E180)*24</f>
        <v>0.99999999994179234</v>
      </c>
      <c r="H180" t="s">
        <v>127</v>
      </c>
    </row>
    <row r="181" spans="1:8" hidden="1" x14ac:dyDescent="0.35">
      <c r="A181" t="s">
        <v>169</v>
      </c>
      <c r="B181" s="4" t="s">
        <v>85</v>
      </c>
      <c r="C181" s="3" t="s">
        <v>89</v>
      </c>
      <c r="D181" s="3" t="s">
        <v>186</v>
      </c>
      <c r="E181" s="11">
        <v>44950.583333333336</v>
      </c>
      <c r="F181" s="11">
        <v>44950.604166666664</v>
      </c>
      <c r="G181" s="13">
        <f t="shared" si="24"/>
        <v>0.49999999988358468</v>
      </c>
      <c r="H181" t="s">
        <v>12</v>
      </c>
    </row>
    <row r="182" spans="1:8" hidden="1" x14ac:dyDescent="0.35">
      <c r="A182" t="s">
        <v>169</v>
      </c>
      <c r="B182" t="s">
        <v>77</v>
      </c>
      <c r="C182" s="3" t="s">
        <v>90</v>
      </c>
      <c r="D182" t="s">
        <v>186</v>
      </c>
      <c r="E182" s="11">
        <v>44950.604166666664</v>
      </c>
      <c r="F182" s="11">
        <v>44950.645833333336</v>
      </c>
      <c r="G182" s="13">
        <f t="shared" si="24"/>
        <v>1.0000000001164153</v>
      </c>
      <c r="H182" t="s">
        <v>26</v>
      </c>
    </row>
    <row r="183" spans="1:8" hidden="1" x14ac:dyDescent="0.35">
      <c r="A183" t="s">
        <v>169</v>
      </c>
      <c r="B183" t="s">
        <v>80</v>
      </c>
      <c r="C183" t="s">
        <v>173</v>
      </c>
      <c r="D183" t="s">
        <v>186</v>
      </c>
      <c r="E183" s="11">
        <v>44949.4375</v>
      </c>
      <c r="F183" s="11">
        <v>44949.479166666664</v>
      </c>
      <c r="G183" s="13">
        <f t="shared" si="24"/>
        <v>0.99999999994179234</v>
      </c>
      <c r="H183" t="s">
        <v>127</v>
      </c>
    </row>
    <row r="184" spans="1:8" hidden="1" x14ac:dyDescent="0.35">
      <c r="A184" t="s">
        <v>107</v>
      </c>
      <c r="B184" t="s">
        <v>80</v>
      </c>
      <c r="C184" t="s">
        <v>172</v>
      </c>
      <c r="D184" t="s">
        <v>186</v>
      </c>
      <c r="E184" s="11">
        <v>44939.541666666664</v>
      </c>
      <c r="F184" s="11">
        <v>44939.583333333336</v>
      </c>
      <c r="G184" s="13">
        <f t="shared" si="24"/>
        <v>1.0000000001164153</v>
      </c>
      <c r="H184" t="s">
        <v>37</v>
      </c>
    </row>
    <row r="185" spans="1:8" hidden="1" x14ac:dyDescent="0.35">
      <c r="A185" t="s">
        <v>170</v>
      </c>
      <c r="B185" t="s">
        <v>175</v>
      </c>
      <c r="E185" s="11">
        <v>44956.416666666664</v>
      </c>
      <c r="F185" s="11">
        <v>44956.458333333336</v>
      </c>
      <c r="G185" s="13">
        <f t="shared" si="24"/>
        <v>1.0000000001164153</v>
      </c>
      <c r="H185" t="s">
        <v>67</v>
      </c>
    </row>
    <row r="186" spans="1:8" hidden="1" x14ac:dyDescent="0.35">
      <c r="A186" t="s">
        <v>169</v>
      </c>
      <c r="B186" s="4" t="s">
        <v>77</v>
      </c>
      <c r="C186" s="3" t="s">
        <v>98</v>
      </c>
      <c r="D186" s="3" t="s">
        <v>186</v>
      </c>
      <c r="E186" s="11">
        <v>44929.666666666664</v>
      </c>
      <c r="F186" s="11">
        <v>44929.708333333336</v>
      </c>
      <c r="G186" s="13">
        <f t="shared" si="24"/>
        <v>1.0000000001164153</v>
      </c>
      <c r="H186" t="s">
        <v>118</v>
      </c>
    </row>
    <row r="187" spans="1:8" hidden="1" x14ac:dyDescent="0.35">
      <c r="A187" t="s">
        <v>169</v>
      </c>
      <c r="B187" t="s">
        <v>77</v>
      </c>
      <c r="C187" t="s">
        <v>88</v>
      </c>
      <c r="D187" t="s">
        <v>186</v>
      </c>
      <c r="E187" s="11">
        <v>44951.333333333336</v>
      </c>
      <c r="F187" s="11">
        <v>44951.364583333336</v>
      </c>
      <c r="G187" s="13">
        <f t="shared" si="24"/>
        <v>0.75</v>
      </c>
      <c r="H187" t="s">
        <v>61</v>
      </c>
    </row>
    <row r="188" spans="1:8" hidden="1" x14ac:dyDescent="0.35">
      <c r="A188" t="s">
        <v>169</v>
      </c>
      <c r="B188" s="4" t="s">
        <v>77</v>
      </c>
      <c r="C188" s="3" t="s">
        <v>76</v>
      </c>
      <c r="D188" s="3" t="s">
        <v>186</v>
      </c>
      <c r="E188" s="11">
        <v>44951.364583333336</v>
      </c>
      <c r="F188" s="11">
        <v>44951.385416666664</v>
      </c>
      <c r="G188" s="13">
        <f t="shared" si="24"/>
        <v>0.49999999988358468</v>
      </c>
      <c r="H188" t="s">
        <v>9</v>
      </c>
    </row>
    <row r="189" spans="1:8" hidden="1" x14ac:dyDescent="0.35">
      <c r="A189" t="s">
        <v>169</v>
      </c>
      <c r="B189" t="s">
        <v>77</v>
      </c>
      <c r="C189" t="s">
        <v>77</v>
      </c>
      <c r="D189" s="3" t="s">
        <v>186</v>
      </c>
      <c r="E189" s="11">
        <v>44951.385416666664</v>
      </c>
      <c r="F189" s="11">
        <v>44951.40625</v>
      </c>
      <c r="G189" s="13">
        <f t="shared" si="24"/>
        <v>0.50000000005820766</v>
      </c>
      <c r="H189" t="s">
        <v>62</v>
      </c>
    </row>
    <row r="190" spans="1:8" hidden="1" x14ac:dyDescent="0.35">
      <c r="A190" t="s">
        <v>169</v>
      </c>
      <c r="B190" s="9" t="s">
        <v>175</v>
      </c>
      <c r="D190" t="s">
        <v>186</v>
      </c>
      <c r="E190" s="11">
        <v>44949.708333333336</v>
      </c>
      <c r="F190" s="11">
        <v>44949.729166666664</v>
      </c>
      <c r="G190" s="13">
        <f t="shared" si="24"/>
        <v>0.49999999988358468</v>
      </c>
      <c r="H190" t="s">
        <v>151</v>
      </c>
    </row>
    <row r="191" spans="1:8" hidden="1" x14ac:dyDescent="0.35">
      <c r="A191" t="s">
        <v>169</v>
      </c>
      <c r="B191" t="s">
        <v>80</v>
      </c>
      <c r="C191" t="s">
        <v>172</v>
      </c>
      <c r="D191" t="s">
        <v>186</v>
      </c>
      <c r="E191" s="11">
        <v>44951.458333333336</v>
      </c>
      <c r="F191" s="11">
        <v>44951.479166666664</v>
      </c>
      <c r="G191" s="13">
        <f t="shared" si="24"/>
        <v>0.49999999988358468</v>
      </c>
      <c r="H191" t="s">
        <v>14</v>
      </c>
    </row>
    <row r="192" spans="1:8" hidden="1" x14ac:dyDescent="0.35">
      <c r="B192" t="s">
        <v>108</v>
      </c>
      <c r="C192" t="s">
        <v>108</v>
      </c>
      <c r="E192" s="11">
        <v>44951.479166666664</v>
      </c>
      <c r="F192" s="11">
        <v>44951.5</v>
      </c>
      <c r="G192">
        <v>5</v>
      </c>
      <c r="H192" t="s">
        <v>115</v>
      </c>
    </row>
    <row r="193" spans="1:8" hidden="1" x14ac:dyDescent="0.35">
      <c r="A193" t="s">
        <v>169</v>
      </c>
      <c r="B193" s="4" t="s">
        <v>77</v>
      </c>
      <c r="C193" s="3" t="s">
        <v>98</v>
      </c>
      <c r="D193" s="3" t="s">
        <v>186</v>
      </c>
      <c r="E193" s="11">
        <v>44944.583333333336</v>
      </c>
      <c r="F193" s="11">
        <v>44944.59375</v>
      </c>
      <c r="G193" s="13">
        <f>(F193-E193)*24</f>
        <v>0.24999999994179234</v>
      </c>
      <c r="H193" t="s">
        <v>142</v>
      </c>
    </row>
    <row r="194" spans="1:8" hidden="1" x14ac:dyDescent="0.35">
      <c r="B194" t="s">
        <v>108</v>
      </c>
      <c r="C194" t="s">
        <v>108</v>
      </c>
      <c r="E194" s="11">
        <v>44951.479166666664</v>
      </c>
      <c r="F194" s="11">
        <v>44951.5</v>
      </c>
      <c r="G194">
        <v>5</v>
      </c>
      <c r="H194" t="s">
        <v>15</v>
      </c>
    </row>
    <row r="195" spans="1:8" hidden="1" x14ac:dyDescent="0.35">
      <c r="B195" t="s">
        <v>108</v>
      </c>
      <c r="C195" t="s">
        <v>108</v>
      </c>
      <c r="E195" s="11">
        <v>44951.5</v>
      </c>
      <c r="F195" s="11">
        <v>44951.666666666664</v>
      </c>
      <c r="G195">
        <v>40</v>
      </c>
      <c r="H195" t="s">
        <v>158</v>
      </c>
    </row>
    <row r="196" spans="1:8" hidden="1" x14ac:dyDescent="0.35">
      <c r="B196" t="s">
        <v>108</v>
      </c>
      <c r="C196" t="s">
        <v>108</v>
      </c>
      <c r="E196" s="11">
        <v>44951.5</v>
      </c>
      <c r="F196" s="11">
        <v>44951.5625</v>
      </c>
      <c r="G196">
        <v>15</v>
      </c>
      <c r="H196" t="s">
        <v>111</v>
      </c>
    </row>
    <row r="197" spans="1:8" hidden="1" x14ac:dyDescent="0.35">
      <c r="A197" t="s">
        <v>107</v>
      </c>
      <c r="B197" t="s">
        <v>175</v>
      </c>
      <c r="D197" t="s">
        <v>186</v>
      </c>
      <c r="E197" s="11">
        <v>44943.416666666664</v>
      </c>
      <c r="F197" s="11">
        <v>44943.4375</v>
      </c>
      <c r="G197" s="13">
        <f t="shared" ref="G197:G201" si="25">(F197-E197)*24</f>
        <v>0.50000000005820766</v>
      </c>
      <c r="H197" t="s">
        <v>45</v>
      </c>
    </row>
    <row r="198" spans="1:8" hidden="1" x14ac:dyDescent="0.35">
      <c r="A198" t="s">
        <v>170</v>
      </c>
      <c r="B198" t="s">
        <v>80</v>
      </c>
      <c r="C198" t="s">
        <v>173</v>
      </c>
      <c r="D198" t="s">
        <v>186</v>
      </c>
      <c r="E198" s="11">
        <v>44944.625</v>
      </c>
      <c r="F198" s="11">
        <v>44944.6875</v>
      </c>
      <c r="G198" s="13">
        <f t="shared" si="25"/>
        <v>1.5</v>
      </c>
      <c r="H198" t="s">
        <v>143</v>
      </c>
    </row>
    <row r="199" spans="1:8" hidden="1" x14ac:dyDescent="0.35">
      <c r="A199" t="s">
        <v>169</v>
      </c>
      <c r="B199" s="4" t="s">
        <v>77</v>
      </c>
      <c r="C199" s="3" t="s">
        <v>76</v>
      </c>
      <c r="D199" s="3" t="s">
        <v>186</v>
      </c>
      <c r="E199" s="11">
        <v>44952.364583333336</v>
      </c>
      <c r="F199" s="11">
        <v>44952.385416666664</v>
      </c>
      <c r="G199" s="13">
        <f t="shared" si="25"/>
        <v>0.49999999988358468</v>
      </c>
      <c r="H199" t="s">
        <v>9</v>
      </c>
    </row>
    <row r="200" spans="1:8" hidden="1" x14ac:dyDescent="0.35">
      <c r="A200" t="s">
        <v>169</v>
      </c>
      <c r="B200" t="s">
        <v>80</v>
      </c>
      <c r="C200" t="s">
        <v>173</v>
      </c>
      <c r="D200" t="s">
        <v>186</v>
      </c>
      <c r="E200" s="11">
        <v>44950.479166666664</v>
      </c>
      <c r="F200" s="11">
        <v>44950.5</v>
      </c>
      <c r="G200" s="13">
        <f t="shared" si="25"/>
        <v>0.50000000005820766</v>
      </c>
      <c r="H200" t="s">
        <v>59</v>
      </c>
    </row>
    <row r="201" spans="1:8" hidden="1" x14ac:dyDescent="0.35">
      <c r="A201" t="s">
        <v>169</v>
      </c>
      <c r="B201" t="s">
        <v>80</v>
      </c>
      <c r="C201" t="s">
        <v>171</v>
      </c>
      <c r="D201" t="s">
        <v>186</v>
      </c>
      <c r="E201" s="11">
        <v>44946.385416666664</v>
      </c>
      <c r="F201" s="11">
        <v>44946.427083333336</v>
      </c>
      <c r="G201" s="13">
        <f t="shared" si="25"/>
        <v>1.0000000001164153</v>
      </c>
      <c r="H201" t="s">
        <v>54</v>
      </c>
    </row>
    <row r="202" spans="1:8" hidden="1" x14ac:dyDescent="0.35">
      <c r="B202" t="s">
        <v>108</v>
      </c>
      <c r="C202" t="s">
        <v>108</v>
      </c>
      <c r="E202" s="11">
        <v>44952.479166666664</v>
      </c>
      <c r="F202" s="11">
        <v>44952.5</v>
      </c>
      <c r="G202">
        <v>5</v>
      </c>
      <c r="H202" t="s">
        <v>115</v>
      </c>
    </row>
    <row r="203" spans="1:8" hidden="1" x14ac:dyDescent="0.35">
      <c r="B203" t="s">
        <v>108</v>
      </c>
      <c r="C203" t="s">
        <v>108</v>
      </c>
      <c r="E203" s="11">
        <v>44952.5</v>
      </c>
      <c r="F203" s="11">
        <v>44952.5625</v>
      </c>
      <c r="G203">
        <v>15</v>
      </c>
      <c r="H203" t="s">
        <v>111</v>
      </c>
    </row>
    <row r="204" spans="1:8" hidden="1" x14ac:dyDescent="0.35">
      <c r="B204" t="s">
        <v>108</v>
      </c>
      <c r="C204" t="s">
        <v>108</v>
      </c>
      <c r="E204" s="11">
        <v>44952.510416666664</v>
      </c>
      <c r="F204" s="11">
        <v>44952.552083333336</v>
      </c>
      <c r="G204">
        <v>10</v>
      </c>
      <c r="H204" t="s">
        <v>116</v>
      </c>
    </row>
    <row r="205" spans="1:8" hidden="1" x14ac:dyDescent="0.35">
      <c r="A205" t="s">
        <v>169</v>
      </c>
      <c r="B205" t="s">
        <v>80</v>
      </c>
      <c r="C205" t="s">
        <v>173</v>
      </c>
      <c r="D205" t="s">
        <v>186</v>
      </c>
      <c r="E205" s="11">
        <v>44952.6875</v>
      </c>
      <c r="F205" s="11">
        <v>44952.708333333336</v>
      </c>
      <c r="G205" s="13">
        <f t="shared" ref="G205:G210" si="26">(F205-E205)*24</f>
        <v>0.50000000005820766</v>
      </c>
      <c r="H205" t="s">
        <v>17</v>
      </c>
    </row>
    <row r="206" spans="1:8" hidden="1" x14ac:dyDescent="0.35">
      <c r="A206" t="s">
        <v>169</v>
      </c>
      <c r="B206" t="s">
        <v>77</v>
      </c>
      <c r="C206" t="s">
        <v>180</v>
      </c>
      <c r="D206" s="3" t="s">
        <v>186</v>
      </c>
      <c r="E206" s="11">
        <v>44937.5625</v>
      </c>
      <c r="F206" s="11">
        <v>44937.583333333336</v>
      </c>
      <c r="G206" s="13">
        <f t="shared" si="26"/>
        <v>0.50000000005820766</v>
      </c>
      <c r="H206" t="s">
        <v>131</v>
      </c>
    </row>
    <row r="207" spans="1:8" hidden="1" x14ac:dyDescent="0.35">
      <c r="A207" t="s">
        <v>169</v>
      </c>
      <c r="B207" t="s">
        <v>77</v>
      </c>
      <c r="C207" t="s">
        <v>98</v>
      </c>
      <c r="D207" s="3" t="s">
        <v>186</v>
      </c>
      <c r="E207" s="11">
        <v>44953.333333333336</v>
      </c>
      <c r="F207" s="11">
        <v>44953.375</v>
      </c>
      <c r="G207" s="13">
        <f t="shared" si="26"/>
        <v>0.99999999994179234</v>
      </c>
      <c r="H207" t="s">
        <v>36</v>
      </c>
    </row>
    <row r="208" spans="1:8" hidden="1" x14ac:dyDescent="0.35">
      <c r="A208" t="s">
        <v>169</v>
      </c>
      <c r="B208" s="4" t="s">
        <v>85</v>
      </c>
      <c r="C208" s="3" t="s">
        <v>85</v>
      </c>
      <c r="D208" s="3" t="s">
        <v>186</v>
      </c>
      <c r="E208" s="11">
        <v>44953.375</v>
      </c>
      <c r="F208" s="11">
        <v>44953.458333333336</v>
      </c>
      <c r="G208" s="13">
        <f t="shared" si="26"/>
        <v>2.0000000000582077</v>
      </c>
      <c r="H208" t="s">
        <v>148</v>
      </c>
    </row>
    <row r="209" spans="1:8" hidden="1" x14ac:dyDescent="0.35">
      <c r="A209" t="s">
        <v>170</v>
      </c>
      <c r="B209" t="s">
        <v>80</v>
      </c>
      <c r="C209" t="s">
        <v>173</v>
      </c>
      <c r="D209" t="s">
        <v>186</v>
      </c>
      <c r="E209" s="11">
        <v>44935.416666666664</v>
      </c>
      <c r="F209" s="11">
        <v>44935.4375</v>
      </c>
      <c r="G209" s="13">
        <f t="shared" si="26"/>
        <v>0.50000000005820766</v>
      </c>
      <c r="H209" t="s">
        <v>22</v>
      </c>
    </row>
    <row r="210" spans="1:8" hidden="1" x14ac:dyDescent="0.35">
      <c r="A210" t="s">
        <v>169</v>
      </c>
      <c r="B210" t="s">
        <v>87</v>
      </c>
      <c r="C210" t="s">
        <v>179</v>
      </c>
      <c r="D210" t="s">
        <v>186</v>
      </c>
      <c r="E210" s="11">
        <v>44953.458333333336</v>
      </c>
      <c r="F210" s="11">
        <v>44953.5</v>
      </c>
      <c r="G210" s="13">
        <f t="shared" si="26"/>
        <v>0.99999999994179234</v>
      </c>
      <c r="H210" t="s">
        <v>65</v>
      </c>
    </row>
    <row r="211" spans="1:8" hidden="1" x14ac:dyDescent="0.35">
      <c r="B211" t="s">
        <v>108</v>
      </c>
      <c r="C211" t="s">
        <v>108</v>
      </c>
      <c r="E211" s="11">
        <v>44953.479166666664</v>
      </c>
      <c r="F211" s="11">
        <v>44953.5</v>
      </c>
      <c r="G211">
        <v>5</v>
      </c>
      <c r="H211" t="s">
        <v>115</v>
      </c>
    </row>
    <row r="212" spans="1:8" hidden="1" x14ac:dyDescent="0.35">
      <c r="B212" t="s">
        <v>108</v>
      </c>
      <c r="C212" t="s">
        <v>108</v>
      </c>
      <c r="E212" s="11">
        <v>44953.5</v>
      </c>
      <c r="F212" s="11">
        <v>44953.5625</v>
      </c>
      <c r="G212">
        <v>15</v>
      </c>
      <c r="H212" t="s">
        <v>111</v>
      </c>
    </row>
    <row r="213" spans="1:8" hidden="1" x14ac:dyDescent="0.35">
      <c r="A213" t="s">
        <v>169</v>
      </c>
      <c r="B213" t="s">
        <v>77</v>
      </c>
      <c r="C213" t="s">
        <v>88</v>
      </c>
      <c r="D213" t="s">
        <v>186</v>
      </c>
      <c r="E213" s="11">
        <v>44953.5625</v>
      </c>
      <c r="F213" s="11">
        <v>44953.604166666664</v>
      </c>
      <c r="G213" s="13">
        <f t="shared" ref="G213:G216" si="27">(F213-E213)*24</f>
        <v>0.99999999994179234</v>
      </c>
      <c r="H213" t="s">
        <v>162</v>
      </c>
    </row>
    <row r="214" spans="1:8" hidden="1" x14ac:dyDescent="0.35">
      <c r="A214" t="s">
        <v>169</v>
      </c>
      <c r="B214" t="s">
        <v>77</v>
      </c>
      <c r="C214" t="s">
        <v>90</v>
      </c>
      <c r="D214" t="s">
        <v>186</v>
      </c>
      <c r="E214" s="11">
        <v>44953.604166666664</v>
      </c>
      <c r="F214" s="11">
        <v>44953.625</v>
      </c>
      <c r="G214" s="13">
        <f t="shared" si="27"/>
        <v>0.50000000005820766</v>
      </c>
      <c r="H214" t="s">
        <v>163</v>
      </c>
    </row>
    <row r="215" spans="1:8" hidden="1" x14ac:dyDescent="0.35">
      <c r="A215" t="s">
        <v>169</v>
      </c>
      <c r="B215" t="s">
        <v>77</v>
      </c>
      <c r="C215" t="s">
        <v>77</v>
      </c>
      <c r="D215" s="3" t="s">
        <v>186</v>
      </c>
      <c r="E215" s="11">
        <v>44953.625</v>
      </c>
      <c r="F215" s="11">
        <v>44953.645833333336</v>
      </c>
      <c r="G215" s="13">
        <f t="shared" si="27"/>
        <v>0.50000000005820766</v>
      </c>
      <c r="H215" t="s">
        <v>66</v>
      </c>
    </row>
    <row r="216" spans="1:8" hidden="1" x14ac:dyDescent="0.35">
      <c r="A216" t="s">
        <v>107</v>
      </c>
      <c r="B216" t="s">
        <v>175</v>
      </c>
      <c r="D216" t="s">
        <v>186</v>
      </c>
      <c r="E216" s="11">
        <v>44931.458333333336</v>
      </c>
      <c r="F216" s="11">
        <v>44931.520833333336</v>
      </c>
      <c r="G216" s="13">
        <f t="shared" si="27"/>
        <v>1.5</v>
      </c>
      <c r="H216" t="s">
        <v>121</v>
      </c>
    </row>
    <row r="217" spans="1:8" hidden="1" x14ac:dyDescent="0.35">
      <c r="B217" t="s">
        <v>108</v>
      </c>
      <c r="C217" t="s">
        <v>108</v>
      </c>
      <c r="E217" s="11">
        <v>44954.479166666664</v>
      </c>
      <c r="F217" s="11">
        <v>44954.5</v>
      </c>
      <c r="G217">
        <v>5</v>
      </c>
      <c r="H217" t="s">
        <v>115</v>
      </c>
    </row>
    <row r="218" spans="1:8" hidden="1" x14ac:dyDescent="0.35">
      <c r="B218" t="s">
        <v>108</v>
      </c>
      <c r="C218" t="s">
        <v>108</v>
      </c>
      <c r="E218" s="11">
        <v>44955.479166666664</v>
      </c>
      <c r="F218" s="11">
        <v>44955.5</v>
      </c>
      <c r="G218">
        <v>5</v>
      </c>
      <c r="H218" t="s">
        <v>115</v>
      </c>
    </row>
    <row r="219" spans="1:8" hidden="1" x14ac:dyDescent="0.35">
      <c r="A219" t="s">
        <v>169</v>
      </c>
      <c r="B219" t="s">
        <v>77</v>
      </c>
      <c r="C219" t="s">
        <v>90</v>
      </c>
      <c r="D219" t="s">
        <v>186</v>
      </c>
      <c r="E219" s="11">
        <v>44956.354166666664</v>
      </c>
      <c r="F219" s="11">
        <v>44956.364583333336</v>
      </c>
      <c r="G219" s="13">
        <f t="shared" ref="G219:G222" si="28">(F219-E219)*24</f>
        <v>0.25000000011641532</v>
      </c>
      <c r="H219" t="s">
        <v>165</v>
      </c>
    </row>
    <row r="220" spans="1:8" hidden="1" x14ac:dyDescent="0.35">
      <c r="A220" t="s">
        <v>169</v>
      </c>
      <c r="B220" s="4" t="s">
        <v>77</v>
      </c>
      <c r="C220" s="3" t="s">
        <v>76</v>
      </c>
      <c r="D220" s="3" t="s">
        <v>186</v>
      </c>
      <c r="E220" s="11">
        <v>44956.364583333336</v>
      </c>
      <c r="F220" s="11">
        <v>44956.385416666664</v>
      </c>
      <c r="G220" s="13">
        <f t="shared" si="28"/>
        <v>0.49999999988358468</v>
      </c>
      <c r="H220" t="s">
        <v>9</v>
      </c>
    </row>
    <row r="221" spans="1:8" hidden="1" x14ac:dyDescent="0.35">
      <c r="A221" t="s">
        <v>169</v>
      </c>
      <c r="B221" t="s">
        <v>77</v>
      </c>
      <c r="C221" t="s">
        <v>88</v>
      </c>
      <c r="D221" t="s">
        <v>186</v>
      </c>
      <c r="E221" s="11">
        <v>44956.385416666664</v>
      </c>
      <c r="F221" s="11">
        <v>44956.416666666664</v>
      </c>
      <c r="G221" s="13">
        <f t="shared" si="28"/>
        <v>0.75</v>
      </c>
      <c r="H221" t="s">
        <v>166</v>
      </c>
    </row>
    <row r="222" spans="1:8" hidden="1" x14ac:dyDescent="0.35">
      <c r="A222" t="s">
        <v>169</v>
      </c>
      <c r="B222" t="s">
        <v>175</v>
      </c>
      <c r="E222" s="11">
        <v>44939.5625</v>
      </c>
      <c r="F222" s="11">
        <v>44939.572916666664</v>
      </c>
      <c r="G222" s="13">
        <f t="shared" si="28"/>
        <v>0.24999999994179234</v>
      </c>
      <c r="H222" t="s">
        <v>39</v>
      </c>
    </row>
    <row r="223" spans="1:8" hidden="1" x14ac:dyDescent="0.35">
      <c r="B223" t="s">
        <v>108</v>
      </c>
      <c r="C223" t="s">
        <v>108</v>
      </c>
      <c r="E223" s="11">
        <v>44956.479166666664</v>
      </c>
      <c r="F223" s="11">
        <v>44956.5</v>
      </c>
      <c r="G223">
        <v>5</v>
      </c>
      <c r="H223" t="s">
        <v>115</v>
      </c>
    </row>
    <row r="224" spans="1:8" hidden="1" x14ac:dyDescent="0.35">
      <c r="A224" t="s">
        <v>169</v>
      </c>
      <c r="B224" s="4" t="s">
        <v>85</v>
      </c>
      <c r="C224" s="3" t="s">
        <v>89</v>
      </c>
      <c r="D224" s="3" t="s">
        <v>186</v>
      </c>
      <c r="E224" s="11">
        <v>44956.489583333336</v>
      </c>
      <c r="F224" s="11">
        <v>44956.5</v>
      </c>
      <c r="G224" s="13">
        <f>(F224-E224)*24</f>
        <v>0.24999999994179234</v>
      </c>
      <c r="H224" t="s">
        <v>110</v>
      </c>
    </row>
    <row r="225" spans="1:8" hidden="1" x14ac:dyDescent="0.35">
      <c r="B225" t="s">
        <v>108</v>
      </c>
      <c r="C225" t="s">
        <v>108</v>
      </c>
      <c r="E225" s="11">
        <v>44956.5</v>
      </c>
      <c r="F225" s="11">
        <v>44956.5625</v>
      </c>
      <c r="G225">
        <v>15</v>
      </c>
      <c r="H225" t="s">
        <v>111</v>
      </c>
    </row>
    <row r="226" spans="1:8" hidden="1" x14ac:dyDescent="0.35">
      <c r="A226" t="s">
        <v>107</v>
      </c>
      <c r="B226" t="s">
        <v>175</v>
      </c>
      <c r="D226" t="s">
        <v>186</v>
      </c>
      <c r="E226" s="11">
        <v>44950.416666666664</v>
      </c>
      <c r="F226" s="11">
        <v>44950.479166666664</v>
      </c>
      <c r="G226" s="13">
        <f t="shared" ref="G226:G232" si="29">(F226-E226)*24</f>
        <v>1.5</v>
      </c>
      <c r="H226" t="s">
        <v>153</v>
      </c>
    </row>
    <row r="227" spans="1:8" hidden="1" x14ac:dyDescent="0.35">
      <c r="A227" t="s">
        <v>169</v>
      </c>
      <c r="B227" t="s">
        <v>77</v>
      </c>
      <c r="C227" t="s">
        <v>181</v>
      </c>
      <c r="D227" s="3" t="s">
        <v>186</v>
      </c>
      <c r="E227" s="11">
        <v>44937.583333333336</v>
      </c>
      <c r="F227" s="11">
        <v>44937.666666666664</v>
      </c>
      <c r="G227" s="13">
        <f t="shared" si="29"/>
        <v>1.9999999998835847</v>
      </c>
      <c r="H227" t="s">
        <v>132</v>
      </c>
    </row>
    <row r="228" spans="1:8" hidden="1" x14ac:dyDescent="0.35">
      <c r="A228" t="s">
        <v>169</v>
      </c>
      <c r="B228" s="4" t="s">
        <v>85</v>
      </c>
      <c r="C228" s="3" t="s">
        <v>92</v>
      </c>
      <c r="D228" s="3" t="s">
        <v>186</v>
      </c>
      <c r="E228" s="11">
        <v>44956.625</v>
      </c>
      <c r="F228" s="11">
        <v>44956.666666666664</v>
      </c>
      <c r="G228" s="13">
        <f t="shared" si="29"/>
        <v>0.99999999994179234</v>
      </c>
      <c r="H228" t="s">
        <v>112</v>
      </c>
    </row>
    <row r="229" spans="1:8" hidden="1" x14ac:dyDescent="0.35">
      <c r="A229" t="s">
        <v>169</v>
      </c>
      <c r="B229" s="4" t="s">
        <v>77</v>
      </c>
      <c r="C229" s="3" t="s">
        <v>76</v>
      </c>
      <c r="D229" s="3" t="s">
        <v>186</v>
      </c>
      <c r="E229" s="11">
        <v>44957.364583333336</v>
      </c>
      <c r="F229" s="11">
        <v>44957.385416666664</v>
      </c>
      <c r="G229" s="13">
        <f t="shared" si="29"/>
        <v>0.49999999988358468</v>
      </c>
      <c r="H229" t="s">
        <v>9</v>
      </c>
    </row>
    <row r="230" spans="1:8" hidden="1" x14ac:dyDescent="0.35">
      <c r="A230" t="s">
        <v>169</v>
      </c>
      <c r="B230" t="s">
        <v>77</v>
      </c>
      <c r="C230" t="s">
        <v>77</v>
      </c>
      <c r="D230" s="3" t="s">
        <v>186</v>
      </c>
      <c r="E230" s="11">
        <v>44957.385416666664</v>
      </c>
      <c r="F230" s="11">
        <v>44957.416666666664</v>
      </c>
      <c r="G230" s="13">
        <f t="shared" si="29"/>
        <v>0.75</v>
      </c>
      <c r="H230" t="s">
        <v>70</v>
      </c>
    </row>
    <row r="231" spans="1:8" hidden="1" x14ac:dyDescent="0.35">
      <c r="A231" t="s">
        <v>169</v>
      </c>
      <c r="B231" t="s">
        <v>80</v>
      </c>
      <c r="C231" t="s">
        <v>174</v>
      </c>
      <c r="D231" t="s">
        <v>186</v>
      </c>
      <c r="E231" s="11">
        <v>44957.458333333336</v>
      </c>
      <c r="F231" s="11">
        <v>44957.5</v>
      </c>
      <c r="G231" s="13">
        <f t="shared" si="29"/>
        <v>0.99999999994179234</v>
      </c>
      <c r="H231" t="s">
        <v>71</v>
      </c>
    </row>
    <row r="232" spans="1:8" hidden="1" x14ac:dyDescent="0.35">
      <c r="A232" t="s">
        <v>107</v>
      </c>
      <c r="B232" t="s">
        <v>175</v>
      </c>
      <c r="D232" t="s">
        <v>186</v>
      </c>
      <c r="E232" s="11">
        <v>44953.6875</v>
      </c>
      <c r="F232" s="11">
        <v>44953.708333333336</v>
      </c>
      <c r="G232" s="13">
        <f t="shared" si="29"/>
        <v>0.50000000005820766</v>
      </c>
      <c r="H232" t="s">
        <v>164</v>
      </c>
    </row>
    <row r="233" spans="1:8" hidden="1" x14ac:dyDescent="0.35">
      <c r="B233" t="s">
        <v>108</v>
      </c>
      <c r="C233" t="s">
        <v>108</v>
      </c>
      <c r="E233" s="11">
        <v>44957.479166666664</v>
      </c>
      <c r="F233" s="11">
        <v>44957.5</v>
      </c>
      <c r="G233">
        <v>5</v>
      </c>
      <c r="H233" t="s">
        <v>115</v>
      </c>
    </row>
    <row r="234" spans="1:8" hidden="1" x14ac:dyDescent="0.35">
      <c r="B234" t="s">
        <v>108</v>
      </c>
      <c r="C234" t="s">
        <v>108</v>
      </c>
      <c r="E234" s="11">
        <v>44957.5</v>
      </c>
      <c r="F234" s="11">
        <v>44957.5625</v>
      </c>
      <c r="G234">
        <v>15</v>
      </c>
      <c r="H234" t="s">
        <v>111</v>
      </c>
    </row>
    <row r="235" spans="1:8" hidden="1" x14ac:dyDescent="0.35">
      <c r="B235" t="s">
        <v>108</v>
      </c>
      <c r="C235" t="s">
        <v>108</v>
      </c>
      <c r="E235" s="11">
        <v>44957.510416666664</v>
      </c>
      <c r="F235" s="11">
        <v>44957.552083333336</v>
      </c>
      <c r="G235">
        <v>10</v>
      </c>
      <c r="H235" t="s">
        <v>116</v>
      </c>
    </row>
    <row r="236" spans="1:8" hidden="1" x14ac:dyDescent="0.35">
      <c r="A236" t="s">
        <v>169</v>
      </c>
      <c r="B236" t="s">
        <v>87</v>
      </c>
      <c r="C236" t="s">
        <v>179</v>
      </c>
      <c r="D236" t="s">
        <v>186</v>
      </c>
      <c r="E236" s="11">
        <v>44957.625</v>
      </c>
      <c r="F236" s="11">
        <v>44957.666666666664</v>
      </c>
      <c r="G236" s="13">
        <f t="shared" ref="G236:G240" si="30">(F236-E236)*24</f>
        <v>0.99999999994179234</v>
      </c>
      <c r="H236" t="s">
        <v>72</v>
      </c>
    </row>
    <row r="237" spans="1:8" hidden="1" x14ac:dyDescent="0.35">
      <c r="A237" t="s">
        <v>169</v>
      </c>
      <c r="B237" s="4" t="s">
        <v>85</v>
      </c>
      <c r="C237" s="3" t="s">
        <v>89</v>
      </c>
      <c r="D237" s="3" t="s">
        <v>186</v>
      </c>
      <c r="E237" s="11">
        <v>44957.645833333336</v>
      </c>
      <c r="F237" s="11">
        <v>44957.666666666664</v>
      </c>
      <c r="G237" s="13">
        <f t="shared" si="30"/>
        <v>0.49999999988358468</v>
      </c>
      <c r="H237" t="s">
        <v>12</v>
      </c>
    </row>
    <row r="238" spans="1:8" hidden="1" x14ac:dyDescent="0.35">
      <c r="A238" t="s">
        <v>107</v>
      </c>
      <c r="B238" t="s">
        <v>175</v>
      </c>
      <c r="D238" t="s">
        <v>186</v>
      </c>
      <c r="E238" s="11">
        <v>44952.479166666664</v>
      </c>
      <c r="F238" s="11">
        <v>44952.5</v>
      </c>
      <c r="G238" s="13">
        <f t="shared" si="30"/>
        <v>0.50000000005820766</v>
      </c>
      <c r="H238" t="s">
        <v>159</v>
      </c>
    </row>
    <row r="239" spans="1:8" hidden="1" x14ac:dyDescent="0.35">
      <c r="A239" t="s">
        <v>107</v>
      </c>
      <c r="B239" t="s">
        <v>80</v>
      </c>
      <c r="C239" t="s">
        <v>171</v>
      </c>
      <c r="D239" t="s">
        <v>186</v>
      </c>
      <c r="E239" s="11">
        <v>44949.375</v>
      </c>
      <c r="F239" s="11">
        <v>44949.416666666664</v>
      </c>
      <c r="G239" s="13">
        <f t="shared" si="30"/>
        <v>0.99999999994179234</v>
      </c>
      <c r="H239" t="s">
        <v>58</v>
      </c>
    </row>
    <row r="240" spans="1:8" hidden="1" x14ac:dyDescent="0.35">
      <c r="A240" t="s">
        <v>107</v>
      </c>
      <c r="B240" t="s">
        <v>175</v>
      </c>
      <c r="E240" s="11">
        <v>44945.677083333336</v>
      </c>
      <c r="F240" s="11">
        <v>44945.78125</v>
      </c>
      <c r="G240" s="13">
        <f t="shared" si="30"/>
        <v>2.4999999999417923</v>
      </c>
      <c r="H240" t="s">
        <v>53</v>
      </c>
    </row>
    <row r="241" spans="7:7" hidden="1" x14ac:dyDescent="0.35">
      <c r="G241" s="13">
        <f>SUM(G2:G240)</f>
        <v>702.04166666363744</v>
      </c>
    </row>
  </sheetData>
  <autoFilter ref="A1:H241" xr:uid="{72A1FE81-C98B-4CC8-8F86-73F6B811F8AB}">
    <filterColumn colId="1">
      <filters blank="1">
        <filter val="clientes"/>
        <filter val="open"/>
      </filters>
    </filterColumn>
    <filterColumn colId="2">
      <customFilters>
        <customFilter operator="notEqual" val=" "/>
      </customFilters>
    </filterColumn>
    <filterColumn colId="3">
      <filters blank="1"/>
    </filterColumn>
    <sortState xmlns:xlrd2="http://schemas.microsoft.com/office/spreadsheetml/2017/richdata2" ref="A10:H240">
      <sortCondition ref="H1:H240"/>
    </sortState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9941F-8684-46A7-9290-E844928730BC}">
  <dimension ref="B1:F24"/>
  <sheetViews>
    <sheetView topLeftCell="A6" workbookViewId="0">
      <selection activeCell="E23" sqref="E23:F23"/>
    </sheetView>
  </sheetViews>
  <sheetFormatPr defaultRowHeight="14.5" x14ac:dyDescent="0.35"/>
  <cols>
    <col min="5" max="5" width="10.54296875" bestFit="1" customWidth="1"/>
    <col min="6" max="6" width="22" bestFit="1" customWidth="1"/>
  </cols>
  <sheetData>
    <row r="1" spans="2:6" x14ac:dyDescent="0.35">
      <c r="B1" t="s">
        <v>106</v>
      </c>
      <c r="C1" t="s">
        <v>104</v>
      </c>
      <c r="E1" t="s">
        <v>105</v>
      </c>
    </row>
    <row r="2" spans="2:6" x14ac:dyDescent="0.35">
      <c r="B2" t="s">
        <v>170</v>
      </c>
      <c r="C2" s="4" t="s">
        <v>97</v>
      </c>
      <c r="D2" s="5"/>
      <c r="E2" s="5" t="s">
        <v>104</v>
      </c>
      <c r="F2" t="s">
        <v>105</v>
      </c>
    </row>
    <row r="3" spans="2:6" x14ac:dyDescent="0.35">
      <c r="B3" t="s">
        <v>107</v>
      </c>
      <c r="C3" s="4" t="s">
        <v>78</v>
      </c>
      <c r="D3" s="5"/>
      <c r="E3" s="4" t="s">
        <v>97</v>
      </c>
      <c r="F3" s="3" t="s">
        <v>96</v>
      </c>
    </row>
    <row r="4" spans="2:6" x14ac:dyDescent="0.35">
      <c r="B4" t="s">
        <v>93</v>
      </c>
      <c r="C4" s="4" t="s">
        <v>93</v>
      </c>
      <c r="D4" s="5"/>
      <c r="E4" s="4" t="s">
        <v>78</v>
      </c>
      <c r="F4" s="3" t="s">
        <v>78</v>
      </c>
    </row>
    <row r="5" spans="2:6" x14ac:dyDescent="0.35">
      <c r="C5" s="4" t="s">
        <v>80</v>
      </c>
      <c r="D5" s="5"/>
      <c r="E5" s="4" t="s">
        <v>78</v>
      </c>
      <c r="F5" s="3" t="s">
        <v>100</v>
      </c>
    </row>
    <row r="6" spans="2:6" x14ac:dyDescent="0.35">
      <c r="C6" s="4" t="s">
        <v>82</v>
      </c>
      <c r="D6" s="5"/>
      <c r="E6" s="4" t="s">
        <v>78</v>
      </c>
      <c r="F6" s="3" t="s">
        <v>91</v>
      </c>
    </row>
    <row r="7" spans="2:6" x14ac:dyDescent="0.35">
      <c r="C7" s="4" t="s">
        <v>85</v>
      </c>
      <c r="D7" s="5"/>
      <c r="E7" s="4" t="s">
        <v>80</v>
      </c>
      <c r="F7" s="3" t="s">
        <v>79</v>
      </c>
    </row>
    <row r="8" spans="2:6" x14ac:dyDescent="0.35">
      <c r="C8" s="4" t="s">
        <v>87</v>
      </c>
      <c r="D8" s="5"/>
      <c r="E8" s="4" t="s">
        <v>80</v>
      </c>
      <c r="F8" s="3" t="s">
        <v>84</v>
      </c>
    </row>
    <row r="9" spans="2:6" x14ac:dyDescent="0.35">
      <c r="C9" s="4" t="s">
        <v>77</v>
      </c>
      <c r="D9" s="5"/>
      <c r="E9" s="4" t="s">
        <v>82</v>
      </c>
      <c r="F9" s="3" t="s">
        <v>81</v>
      </c>
    </row>
    <row r="10" spans="2:6" x14ac:dyDescent="0.35">
      <c r="C10" s="9" t="s">
        <v>168</v>
      </c>
      <c r="D10" s="5"/>
      <c r="E10" s="4" t="s">
        <v>82</v>
      </c>
      <c r="F10" s="3" t="s">
        <v>99</v>
      </c>
    </row>
    <row r="11" spans="2:6" x14ac:dyDescent="0.35">
      <c r="C11" s="5"/>
      <c r="D11" s="5"/>
      <c r="E11" s="4" t="s">
        <v>85</v>
      </c>
      <c r="F11" s="3" t="s">
        <v>89</v>
      </c>
    </row>
    <row r="12" spans="2:6" x14ac:dyDescent="0.35">
      <c r="C12" s="5"/>
      <c r="D12" s="5"/>
      <c r="E12" s="4" t="s">
        <v>85</v>
      </c>
      <c r="F12" s="3" t="s">
        <v>85</v>
      </c>
    </row>
    <row r="13" spans="2:6" x14ac:dyDescent="0.35">
      <c r="C13" s="5"/>
      <c r="D13" s="5"/>
      <c r="E13" s="4" t="s">
        <v>85</v>
      </c>
      <c r="F13" s="3" t="s">
        <v>92</v>
      </c>
    </row>
    <row r="14" spans="2:6" x14ac:dyDescent="0.35">
      <c r="C14" s="5"/>
      <c r="D14" s="5"/>
      <c r="E14" s="4" t="s">
        <v>87</v>
      </c>
      <c r="F14" s="3" t="s">
        <v>94</v>
      </c>
    </row>
    <row r="15" spans="2:6" x14ac:dyDescent="0.35">
      <c r="C15" s="5"/>
      <c r="D15" s="5"/>
      <c r="E15" s="4" t="s">
        <v>87</v>
      </c>
      <c r="F15" s="3" t="s">
        <v>86</v>
      </c>
    </row>
    <row r="16" spans="2:6" x14ac:dyDescent="0.35">
      <c r="C16" s="5"/>
      <c r="D16" s="5"/>
      <c r="E16" s="4" t="s">
        <v>77</v>
      </c>
      <c r="F16" s="3" t="s">
        <v>95</v>
      </c>
    </row>
    <row r="17" spans="3:6" x14ac:dyDescent="0.35">
      <c r="C17" s="5"/>
      <c r="D17" s="5"/>
      <c r="E17" s="4" t="s">
        <v>77</v>
      </c>
      <c r="F17" s="3" t="s">
        <v>77</v>
      </c>
    </row>
    <row r="18" spans="3:6" x14ac:dyDescent="0.35">
      <c r="C18" s="5"/>
      <c r="D18" s="5"/>
      <c r="E18" s="4" t="s">
        <v>77</v>
      </c>
      <c r="F18" s="3" t="s">
        <v>90</v>
      </c>
    </row>
    <row r="19" spans="3:6" x14ac:dyDescent="0.35">
      <c r="C19" s="5"/>
      <c r="D19" s="5"/>
      <c r="E19" s="4" t="s">
        <v>77</v>
      </c>
      <c r="F19" s="3" t="s">
        <v>98</v>
      </c>
    </row>
    <row r="20" spans="3:6" x14ac:dyDescent="0.35">
      <c r="C20" s="5"/>
      <c r="D20" s="5"/>
      <c r="E20" s="4" t="s">
        <v>77</v>
      </c>
      <c r="F20" s="3" t="s">
        <v>83</v>
      </c>
    </row>
    <row r="21" spans="3:6" x14ac:dyDescent="0.35">
      <c r="C21" s="5"/>
      <c r="D21" s="5"/>
      <c r="E21" s="4" t="s">
        <v>77</v>
      </c>
      <c r="F21" s="3" t="s">
        <v>76</v>
      </c>
    </row>
    <row r="22" spans="3:6" x14ac:dyDescent="0.35">
      <c r="C22" s="5"/>
      <c r="D22" s="5"/>
      <c r="E22" s="4" t="s">
        <v>77</v>
      </c>
      <c r="F22" s="3" t="s">
        <v>88</v>
      </c>
    </row>
    <row r="23" spans="3:6" x14ac:dyDescent="0.35">
      <c r="E23" t="s">
        <v>77</v>
      </c>
      <c r="F23" t="s">
        <v>180</v>
      </c>
    </row>
    <row r="24" spans="3:6" x14ac:dyDescent="0.35">
      <c r="E24" s="9" t="s">
        <v>108</v>
      </c>
      <c r="F24" s="9" t="s">
        <v>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0D9E0-1B2B-48E9-A6BB-224752F13C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flavio-2023-jan-events</vt:lpstr>
      <vt:lpstr>tabela-dinamica</vt:lpstr>
      <vt:lpstr>Graficos</vt:lpstr>
      <vt:lpstr>dados</vt:lpstr>
      <vt:lpstr>parametros</vt:lpstr>
      <vt:lpstr>categoria1</vt:lpstr>
      <vt:lpstr>categoria2</vt:lpstr>
      <vt:lpstr>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Nunes Lopes</dc:creator>
  <cp:lastModifiedBy>Flavio Nunes Lopes</cp:lastModifiedBy>
  <dcterms:created xsi:type="dcterms:W3CDTF">2023-01-31T23:55:25Z</dcterms:created>
  <dcterms:modified xsi:type="dcterms:W3CDTF">2023-02-01T05:29:20Z</dcterms:modified>
</cp:coreProperties>
</file>